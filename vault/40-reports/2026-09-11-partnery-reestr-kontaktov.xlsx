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Контакты" sheetId="2" state="visible" r:id="rId2"/>
    <sheet name="Сводка" sheetId="3" state="visible" r:id="rId3"/>
    <sheet name="Справочники" sheetId="4" state="visible" r:id="rId4"/>
  </sheets>
  <definedNames>
    <definedName name="_xlnm._FilterDatabase" localSheetId="1" hidden="1">'Контакты'!$A$1:$V$60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4"/>
    </font>
  </fonts>
  <fills count="5">
    <fill>
      <patternFill/>
    </fill>
    <fill>
      <patternFill patternType="gray125"/>
    </fill>
    <fill>
      <patternFill patternType="solid">
        <fgColor rgb="00101010"/>
      </patternFill>
    </fill>
    <fill>
      <patternFill patternType="solid">
        <fgColor rgb="00F1F1F1"/>
      </patternFill>
    </fill>
    <fill>
      <patternFill patternType="solid">
        <fgColor rgb="00C0A8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3" fillId="3" borderId="0" pivotButton="0" quotePrefix="0" xfId="0"/>
    <xf numFmtId="0" fontId="4" fillId="3" borderId="0" applyAlignment="1" pivotButton="0" quotePrefix="0" xfId="0">
      <alignment vertical="top" wrapText="1"/>
    </xf>
    <xf numFmtId="164" fontId="4" fillId="3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MainExperts</author>
  </authors>
  <commentList>
    <comment ref="L1" authorId="0" shapeId="0">
      <text>
        <t>«Контакт состоялся» = двусторонний обмен. Отправка без ответа не считается контактом (решение 09.09).</t>
      </text>
    </comment>
    <comment ref="O1" authorId="0" shapeId="0">
      <text>
        <t>Перечислить коды материалов через запятую: К01, К02, К03… (список — лист «Справочники»).</t>
      </text>
    </comment>
    <comment ref="T1" authorId="0" shapeId="0">
      <text>
        <t>Покупки и партнёры из круга основателя помечаются и в выводы о спросе не идут (ТЗ, ДАН-11).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Реестр контактов партнёрской сети MainExperts</t>
        </is>
      </c>
    </row>
    <row r="2">
      <c r="A2" s="2" t="inlineStr">
        <is>
          <t>Назначение: управление обзвоном первой волны (10 разговоров за 5 дней, созвон 09.09.2026) и передача подключённых партнёров в кабинет. Соответствует материалу К12 из технического задания docs/15-partner-network-tz.md.</t>
        </is>
      </c>
    </row>
    <row r="3">
      <c r="A3" s="2" t="n"/>
    </row>
    <row r="4">
      <c r="A4" s="3" t="inlineStr">
        <is>
          <t>Как заполнять</t>
        </is>
      </c>
    </row>
    <row r="5">
      <c r="A5" s="2" t="inlineStr">
        <is>
          <t>1. Синий текст — поля для ввода. Чёрный — формулы, не трогать. Выпадающие списки берутся с листа «Справочники»; новые значения добавляйте там.</t>
        </is>
      </c>
    </row>
    <row r="6">
      <c r="A6" s="2" t="inlineStr">
        <is>
          <t>2. Одна строка — один человек или организация. «Контакт состоялся» ставится только после двустороннего обмена: отправка без ответа контактом не считается.</t>
        </is>
      </c>
    </row>
    <row r="7">
      <c r="A7" s="2" t="inlineStr">
        <is>
          <t>3. «Главный вопрос партнёра» и «Возражение» — обязательны после первого разговора: по ним правятся условия и ответы на возражения (К09).</t>
        </is>
      </c>
    </row>
    <row r="8">
      <c r="A8" s="2" t="inlineStr">
        <is>
          <t>4. «Отправленные материалы» — коды К01…К09 через запятую. «Следующее действие» и его дата — всегда заполнены, иначе строка мертва; просроченные подсвечиваются в колонке «Просрочено».</t>
        </is>
      </c>
    </row>
    <row r="9">
      <c r="A9" s="2" t="inlineStr">
        <is>
          <t>5. «Резидент РФ» — обязательно до отправки условий: нерезидентам в пилоте выплаты не производятся (ТЗ, ПРАВ-11). «Круг основателя» — да/нет: такие покупки в выводы о спросе не идут.</t>
        </is>
      </c>
    </row>
    <row r="10">
      <c r="A10" s="2" t="inlineStr">
        <is>
          <t>6. После принятия оферты в кабинете вписать partner_id и перевести стадию в «Подключён».</t>
        </is>
      </c>
    </row>
    <row r="11">
      <c r="A11" s="2" t="n"/>
    </row>
    <row r="12">
      <c r="A12" s="3" t="inlineStr">
        <is>
          <t>Что уже внесено</t>
        </is>
      </c>
    </row>
    <row r="13">
      <c r="A13" s="2" t="inlineStr">
        <is>
          <t>Восемь строк — контакты, прозвучавшие на созвонах 08.09 и 09.09: имена только те, что были названы, остальное оставлено пустым и помечено «уточнить» в заметках. Строки-заготовки для контактов основателя заменить реальными людьми.</t>
        </is>
      </c>
    </row>
    <row r="14">
      <c r="A14" s="2" t="n"/>
    </row>
    <row r="15">
      <c r="A15" s="3" t="inlineStr">
        <is>
          <t>Персональные данные</t>
        </is>
      </c>
    </row>
    <row r="16">
      <c r="A16" s="2" t="inlineStr">
        <is>
          <t>Имена, контакты и сведения об аудитории — персональные данные партнёров. Доступ только рабочей группе; хранить на согласованном носителе; вопрос локализации и согласия — к юристу (ТЗ, ПРАВ-11). Данные детей и семей в реестр не вносить.</t>
        </is>
      </c>
    </row>
    <row r="17">
      <c r="A17" s="2" t="n"/>
    </row>
    <row r="18">
      <c r="A18" s="3" t="inlineStr">
        <is>
          <t>Пример заполненной строки</t>
        </is>
      </c>
    </row>
    <row r="19">
      <c r="A19" s="2" t="inlineStr">
        <is>
          <t>Имя: Марина П. · Контакт: @username · Кто познакомил: Основатель (Макс) · Когорта: Активные преподаватели · Аудитория: 12 учеников 14–17 лет, английский · Страна семей: Россия · Резидент: Да · Продукт пройден: Нет · Стадия: Условия отправлены · Дата первого контакта: 12.09.2026 · Главный вопрос: «почему 20 000, если в интернете 12 000» · Реакция: Дорого для его семей · Возражение: Дорого · Материалы: К01, К02, К03 · Следующее действие: показать образец отчёта и расчёт на трёх ценах · Дата: 15.09.2026 · Ответственный: Маркетинг (Игорь) · Круг основателя: Да.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0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18" customWidth="1" min="4" max="4"/>
    <col width="30" customWidth="1" min="5" max="5"/>
    <col width="26" customWidth="1" min="6" max="6"/>
    <col width="14" customWidth="1" min="7" max="7"/>
    <col width="12" customWidth="1" min="8" max="8"/>
    <col width="20" customWidth="1" min="9" max="9"/>
    <col width="26" customWidth="1" min="10" max="10"/>
    <col width="14" customWidth="1" min="11" max="11"/>
    <col width="32" customWidth="1" min="12" max="12"/>
    <col width="22" customWidth="1" min="13" max="13"/>
    <col width="26" customWidth="1" min="14" max="14"/>
    <col width="30" customWidth="1" min="15" max="15"/>
    <col width="30" customWidth="1" min="16" max="16"/>
    <col width="14" customWidth="1" min="17" max="17"/>
    <col width="20" customWidth="1" min="18" max="18"/>
    <col width="16" customWidth="1" min="19" max="19"/>
    <col width="12" customWidth="1" min="20" max="20"/>
    <col width="11" customWidth="1" min="21" max="21"/>
    <col width="44" customWidth="1" min="22" max="22"/>
  </cols>
  <sheetData>
    <row r="1" ht="34" customHeight="1">
      <c r="A1" s="4" t="inlineStr">
        <is>
          <t>№</t>
        </is>
      </c>
      <c r="B1" s="4" t="inlineStr">
        <is>
          <t>Имя</t>
        </is>
      </c>
      <c r="C1" s="4" t="inlineStr">
        <is>
          <t>Контакт (мессенджер, телефон, почта)</t>
        </is>
      </c>
      <c r="D1" s="4" t="inlineStr">
        <is>
          <t>Кто познакомил</t>
        </is>
      </c>
      <c r="E1" s="4" t="inlineStr">
        <is>
          <t>Когорта</t>
        </is>
      </c>
      <c r="F1" s="4" t="inlineStr">
        <is>
          <t>Аудитория и возраст детей</t>
        </is>
      </c>
      <c r="G1" s="4" t="inlineStr">
        <is>
          <t>Страна семей</t>
        </is>
      </c>
      <c r="H1" s="4" t="inlineStr">
        <is>
          <t>Резидент РФ</t>
        </is>
      </c>
      <c r="I1" s="4" t="inlineStr">
        <is>
          <t>Продукт пройден</t>
        </is>
      </c>
      <c r="J1" s="4" t="inlineStr">
        <is>
          <t>Стадия</t>
        </is>
      </c>
      <c r="K1" s="4" t="inlineStr">
        <is>
          <t>Дата первого контакта</t>
        </is>
      </c>
      <c r="L1" s="4" t="inlineStr">
        <is>
          <t>Главный вопрос партнёра</t>
        </is>
      </c>
      <c r="M1" s="4" t="inlineStr">
        <is>
          <t>Реакция на цену</t>
        </is>
      </c>
      <c r="N1" s="4" t="inlineStr">
        <is>
          <t>Возражение</t>
        </is>
      </c>
      <c r="O1" s="4" t="inlineStr">
        <is>
          <t>Отправленные материалы</t>
        </is>
      </c>
      <c r="P1" s="4" t="inlineStr">
        <is>
          <t>Следующее действие</t>
        </is>
      </c>
      <c r="Q1" s="4" t="inlineStr">
        <is>
          <t>Дата следующего действия</t>
        </is>
      </c>
      <c r="R1" s="4" t="inlineStr">
        <is>
          <t>Ответственный</t>
        </is>
      </c>
      <c r="S1" s="4" t="inlineStr">
        <is>
          <t>partner_id (после подключения)</t>
        </is>
      </c>
      <c r="T1" s="4" t="inlineStr">
        <is>
          <t>Круг основателя</t>
        </is>
      </c>
      <c r="U1" s="4" t="inlineStr">
        <is>
          <t>Просрочено</t>
        </is>
      </c>
      <c r="V1" s="4" t="inlineStr">
        <is>
          <t>Заметки и источник</t>
        </is>
      </c>
    </row>
    <row r="2">
      <c r="A2" s="5" t="n">
        <v>1</v>
      </c>
      <c r="B2" s="6" t="inlineStr">
        <is>
          <t>Радион</t>
        </is>
      </c>
      <c r="C2" s="6" t="n"/>
      <c r="D2" s="6" t="inlineStr">
        <is>
          <t>Команда (общался Макс)</t>
        </is>
      </c>
      <c r="E2" s="6" t="inlineStr">
        <is>
          <t>Нишевые блогеры и предприниматели с детьми</t>
        </is>
      </c>
      <c r="F2" s="6" t="inlineStr">
        <is>
          <t>Семейная аудитория в Instagram (уточнить размер и возраст детей)</t>
        </is>
      </c>
      <c r="G2" s="6" t="inlineStr">
        <is>
          <t>Россия (уточнить)</t>
        </is>
      </c>
      <c r="H2" s="6" t="inlineStr">
        <is>
          <t>Не знаем</t>
        </is>
      </c>
      <c r="I2" s="6" t="inlineStr">
        <is>
          <t>Да, бесплатная выдача</t>
        </is>
      </c>
      <c r="J2" s="6" t="inlineStr">
        <is>
          <t>Есть интерес</t>
        </is>
      </c>
      <c r="K2" s="7" t="n"/>
      <c r="L2" s="6" t="inlineStr">
        <is>
          <t>Готов выложить; ждёт запуска</t>
        </is>
      </c>
      <c r="M2" s="6" t="inlineStr">
        <is>
          <t>Не обсуждали</t>
        </is>
      </c>
      <c r="N2" s="6" t="inlineStr">
        <is>
          <t>Нет</t>
        </is>
      </c>
      <c r="O2" s="6" t="n"/>
      <c r="P2" s="6" t="inlineStr">
        <is>
          <t>Согласовать формат публикации (К07), создать код с ценой, взять данные для реестра</t>
        </is>
      </c>
      <c r="Q2" s="7" t="n"/>
      <c r="R2" s="6" t="inlineStr">
        <is>
          <t>Основатель (Макс)</t>
        </is>
      </c>
      <c r="S2" s="6" t="n"/>
      <c r="T2" s="6" t="inlineStr">
        <is>
          <t>Да</t>
        </is>
      </c>
      <c r="U2" s="5">
        <f>IF(AND(Q2&lt;&gt;"",Q2&lt;TODAY(),ISERROR(MATCH(J2,{"Продающий (первая оплата)","Отказ","Отложен"},0))),"Да","")</f>
        <v/>
      </c>
      <c r="V2" s="6" t="inlineStr">
        <is>
          <t>Созвон 09.09: «он уже давно ждёт, готов, есть Instagram, тесты сделали». Первый кандидат на публикацию. Маркировка рекламы и площадка — к юристу до публикации (ПРАВ-09).</t>
        </is>
      </c>
    </row>
    <row r="3">
      <c r="A3" s="8" t="n">
        <v>2</v>
      </c>
      <c r="B3" s="9" t="inlineStr">
        <is>
          <t>Денис</t>
        </is>
      </c>
      <c r="C3" s="9" t="n"/>
      <c r="D3" s="9" t="inlineStr">
        <is>
          <t>Основатель (Макс)</t>
        </is>
      </c>
      <c r="E3" s="9" t="inlineStr">
        <is>
          <t>Знакомые основателя</t>
        </is>
      </c>
      <c r="F3" s="9" t="n"/>
      <c r="G3" s="9" t="n"/>
      <c r="H3" s="9" t="inlineStr">
        <is>
          <t>Не знаем</t>
        </is>
      </c>
      <c r="I3" s="9" t="inlineStr">
        <is>
          <t>Не знаем</t>
        </is>
      </c>
      <c r="J3" s="9" t="inlineStr">
        <is>
          <t>Потенциальный</t>
        </is>
      </c>
      <c r="K3" s="10" t="n"/>
      <c r="L3" s="9" t="n"/>
      <c r="M3" s="9" t="inlineStr">
        <is>
          <t>Не обсуждали</t>
        </is>
      </c>
      <c r="N3" s="9" t="inlineStr">
        <is>
          <t>Стыдно брать деньги со знакомых</t>
        </is>
      </c>
      <c r="O3" s="9" t="n"/>
      <c r="P3" s="9" t="inlineStr">
        <is>
          <t>Личный разговор; предложить рекомендацию по МРЦ без вознаграждения или с отложенными баллами</t>
        </is>
      </c>
      <c r="Q3" s="10" t="n"/>
      <c r="R3" s="9" t="inlineStr">
        <is>
          <t>Основатель (Макс)</t>
        </is>
      </c>
      <c r="S3" s="9" t="n"/>
      <c r="T3" s="9" t="inlineStr">
        <is>
          <t>Да</t>
        </is>
      </c>
      <c r="U3" s="8">
        <f>IF(AND(Q3&lt;&gt;"",Q3&lt;TODAY(),ISERROR(MATCH(J3,{"Продающий (первая оплата)","Отказ","Отложен"},0))),"Да","")</f>
        <v/>
      </c>
      <c r="V3" s="9" t="inlineStr">
        <is>
          <t>Созвон 08.09: пример человека, который не хочет зарабатывать на друзьях (идея бонусного счёта). Созвон 09.09: «Денис есть тоже». Роль и контакт уточнить.</t>
        </is>
      </c>
    </row>
    <row r="4">
      <c r="A4" s="5" t="n">
        <v>3</v>
      </c>
      <c r="B4" s="6" t="inlineStr">
        <is>
          <t>Преподаватель биологии с каналом (имя не названо)</t>
        </is>
      </c>
      <c r="C4" s="6" t="n"/>
      <c r="D4" s="6" t="inlineStr">
        <is>
          <t>Основатель (Макс)</t>
        </is>
      </c>
      <c r="E4" s="6" t="inlineStr">
        <is>
          <t>Активные преподаватели</t>
        </is>
      </c>
      <c r="F4" s="6" t="inlineStr">
        <is>
          <t>Подростки; ведёт свой канал по биологии</t>
        </is>
      </c>
      <c r="G4" s="6" t="n"/>
      <c r="H4" s="6" t="inlineStr">
        <is>
          <t>Не знаем</t>
        </is>
      </c>
      <c r="I4" s="6" t="inlineStr">
        <is>
          <t>Нет</t>
        </is>
      </c>
      <c r="J4" s="6" t="inlineStr">
        <is>
          <t>Потенциальный</t>
        </is>
      </c>
      <c r="K4" s="7" t="n"/>
      <c r="L4" s="6" t="n"/>
      <c r="M4" s="6" t="inlineStr">
        <is>
          <t>Не обсуждали</t>
        </is>
      </c>
      <c r="N4" s="6" t="inlineStr">
        <is>
          <t>Нет</t>
        </is>
      </c>
      <c r="O4" s="6" t="n"/>
      <c r="P4" s="6" t="inlineStr">
        <is>
          <t>Взять контакт у основателя; личный разговор</t>
        </is>
      </c>
      <c r="Q4" s="7" t="n"/>
      <c r="R4" s="6" t="inlineStr">
        <is>
          <t>Основатель (Макс)</t>
        </is>
      </c>
      <c r="S4" s="6" t="n"/>
      <c r="T4" s="6" t="inlineStr">
        <is>
          <t>Да</t>
        </is>
      </c>
      <c r="U4" s="5">
        <f>IF(AND(Q4&lt;&gt;"",Q4&lt;TODAY(),ISERROR(MATCH(J4,{"Продающий (первая оплата)","Отказ","Отложен"},0))),"Да","")</f>
        <v/>
      </c>
      <c r="V4" s="6" t="inlineStr">
        <is>
          <t>Созвон 09.09: «человек, который ведёт свой по биологии… заработал» — активный учитель с аудиторией. Имя и данные уточнить.</t>
        </is>
      </c>
    </row>
    <row r="5">
      <c r="A5" s="8" t="n">
        <v>4</v>
      </c>
      <c r="B5" s="9" t="inlineStr">
        <is>
          <t>Контакт основателя 1 (преподаватель)</t>
        </is>
      </c>
      <c r="C5" s="9" t="n"/>
      <c r="D5" s="9" t="inlineStr">
        <is>
          <t>Основатель (Макс)</t>
        </is>
      </c>
      <c r="E5" s="9" t="inlineStr">
        <is>
          <t>Знакомые основателя</t>
        </is>
      </c>
      <c r="F5" s="9" t="n"/>
      <c r="G5" s="9" t="n"/>
      <c r="H5" s="9" t="inlineStr">
        <is>
          <t>Не знаем</t>
        </is>
      </c>
      <c r="I5" s="9" t="inlineStr">
        <is>
          <t>Не знаем</t>
        </is>
      </c>
      <c r="J5" s="9" t="inlineStr">
        <is>
          <t>Потенциальный</t>
        </is>
      </c>
      <c r="K5" s="10" t="n"/>
      <c r="L5" s="9" t="n"/>
      <c r="M5" s="9" t="inlineStr">
        <is>
          <t>Не обсуждали</t>
        </is>
      </c>
      <c r="N5" s="9" t="inlineStr">
        <is>
          <t>Нет</t>
        </is>
      </c>
      <c r="O5" s="9" t="n"/>
      <c r="P5" s="9" t="inlineStr">
        <is>
          <t>Получить контакт у основателя (обещано 2–3)</t>
        </is>
      </c>
      <c r="Q5" s="10" t="n"/>
      <c r="R5" s="9" t="inlineStr">
        <is>
          <t>Основатель (Макс)</t>
        </is>
      </c>
      <c r="S5" s="9" t="n"/>
      <c r="T5" s="9" t="inlineStr">
        <is>
          <t>Да</t>
        </is>
      </c>
      <c r="U5" s="8">
        <f>IF(AND(Q5&lt;&gt;"",Q5&lt;TODAY(),ISERROR(MATCH(J5,{"Продающий (первая оплата)","Отказ","Отложен"},0))),"Да","")</f>
        <v/>
      </c>
      <c r="V5" s="9" t="inlineStr">
        <is>
          <t>Созвон 09.09: «я тебе дам свои какие-то контакты… 2–3». Строка-заготовка.</t>
        </is>
      </c>
    </row>
    <row r="6">
      <c r="A6" s="5" t="n">
        <v>5</v>
      </c>
      <c r="B6" s="6" t="inlineStr">
        <is>
          <t>Контакт основателя 2 (преподаватель)</t>
        </is>
      </c>
      <c r="C6" s="6" t="n"/>
      <c r="D6" s="6" t="inlineStr">
        <is>
          <t>Основатель (Макс)</t>
        </is>
      </c>
      <c r="E6" s="6" t="inlineStr">
        <is>
          <t>Знакомые основателя</t>
        </is>
      </c>
      <c r="F6" s="6" t="n"/>
      <c r="G6" s="6" t="n"/>
      <c r="H6" s="6" t="inlineStr">
        <is>
          <t>Не знаем</t>
        </is>
      </c>
      <c r="I6" s="6" t="inlineStr">
        <is>
          <t>Не знаем</t>
        </is>
      </c>
      <c r="J6" s="6" t="inlineStr">
        <is>
          <t>Потенциальный</t>
        </is>
      </c>
      <c r="K6" s="7" t="n"/>
      <c r="L6" s="6" t="n"/>
      <c r="M6" s="6" t="inlineStr">
        <is>
          <t>Не обсуждали</t>
        </is>
      </c>
      <c r="N6" s="6" t="inlineStr">
        <is>
          <t>Нет</t>
        </is>
      </c>
      <c r="O6" s="6" t="n"/>
      <c r="P6" s="6" t="inlineStr">
        <is>
          <t>Получить контакт у основателя</t>
        </is>
      </c>
      <c r="Q6" s="7" t="n"/>
      <c r="R6" s="6" t="inlineStr">
        <is>
          <t>Основатель (Макс)</t>
        </is>
      </c>
      <c r="S6" s="6" t="n"/>
      <c r="T6" s="6" t="inlineStr">
        <is>
          <t>Да</t>
        </is>
      </c>
      <c r="U6" s="5">
        <f>IF(AND(Q6&lt;&gt;"",Q6&lt;TODAY(),ISERROR(MATCH(J6,{"Продающий (первая оплата)","Отказ","Отложен"},0))),"Да","")</f>
        <v/>
      </c>
      <c r="V6" s="6" t="inlineStr">
        <is>
          <t>Строка-заготовка.</t>
        </is>
      </c>
    </row>
    <row r="7">
      <c r="A7" s="8" t="n">
        <v>6</v>
      </c>
      <c r="B7" s="9" t="inlineStr">
        <is>
          <t>Преподаватели в Грузии (Вадим)</t>
        </is>
      </c>
      <c r="C7" s="9" t="n"/>
      <c r="D7" s="9" t="inlineStr">
        <is>
          <t>Продукт (Вадим)</t>
        </is>
      </c>
      <c r="E7" s="9" t="inlineStr">
        <is>
          <t>Активные преподаватели</t>
        </is>
      </c>
      <c r="F7" s="9" t="n"/>
      <c r="G7" s="9" t="inlineStr">
        <is>
          <t>Грузия</t>
        </is>
      </c>
      <c r="H7" s="9" t="inlineStr">
        <is>
          <t>Нет</t>
        </is>
      </c>
      <c r="I7" s="9" t="inlineStr">
        <is>
          <t>Не знаем</t>
        </is>
      </c>
      <c r="J7" s="9" t="inlineStr">
        <is>
          <t>Потенциальный</t>
        </is>
      </c>
      <c r="K7" s="10" t="n"/>
      <c r="L7" s="9" t="n"/>
      <c r="M7" s="9" t="inlineStr">
        <is>
          <t>Не обсуждали</t>
        </is>
      </c>
      <c r="N7" s="9" t="inlineStr">
        <is>
          <t>Нет</t>
        </is>
      </c>
      <c r="O7" s="9" t="n"/>
      <c r="P7" s="9" t="inlineStr">
        <is>
          <t>Вадим смотрит кандидатов. Внимание: нерезиденты в пилоте не выплачиваются (ПРАВ-11); только после заключения юриста</t>
        </is>
      </c>
      <c r="Q7" s="10" t="n"/>
      <c r="R7" s="9" t="inlineStr">
        <is>
          <t>Продукт (Вадим)</t>
        </is>
      </c>
      <c r="S7" s="9" t="n"/>
      <c r="T7" s="9" t="inlineStr">
        <is>
          <t>Нет</t>
        </is>
      </c>
      <c r="U7" s="8">
        <f>IF(AND(Q7&lt;&gt;"",Q7&lt;TODAY(),ISERROR(MATCH(J7,{"Продающий (первая оплата)","Отказ","Отложен"},0))),"Да","")</f>
        <v/>
      </c>
      <c r="V7" s="9" t="inlineStr">
        <is>
          <t>Созвон 09.09: «Вадим, посмотри, может кто-то в Грузии есть учителей». Для пилота непригодны до решения по нерезидентам.</t>
        </is>
      </c>
    </row>
    <row r="8">
      <c r="A8" s="5" t="n">
        <v>7</v>
      </c>
      <c r="B8" s="6" t="inlineStr">
        <is>
          <t>Психологи из таблицы «профи»</t>
        </is>
      </c>
      <c r="C8" s="6" t="n"/>
      <c r="D8" s="6" t="inlineStr">
        <is>
          <t>Команда</t>
        </is>
      </c>
      <c r="E8" s="6" t="inlineStr">
        <is>
          <t>Психологи (осторожно, другое предложение)</t>
        </is>
      </c>
      <c r="F8" s="6" t="n"/>
      <c r="G8" s="6" t="inlineStr">
        <is>
          <t>Россия</t>
        </is>
      </c>
      <c r="H8" s="6" t="inlineStr">
        <is>
          <t>Не знаем</t>
        </is>
      </c>
      <c r="I8" s="6" t="inlineStr">
        <is>
          <t>Не знаем</t>
        </is>
      </c>
      <c r="J8" s="6" t="inlineStr">
        <is>
          <t>Отложен</t>
        </is>
      </c>
      <c r="K8" s="7" t="n"/>
      <c r="L8" s="6" t="n"/>
      <c r="M8" s="6" t="inlineStr">
        <is>
          <t>Не обсуждали</t>
        </is>
      </c>
      <c r="N8" s="6" t="inlineStr">
        <is>
          <t>Нет</t>
        </is>
      </c>
      <c r="O8" s="6" t="n"/>
      <c r="P8" s="6" t="inlineStr">
        <is>
          <t>Не приглашать в первую волну; отдельное предложение позже</t>
        </is>
      </c>
      <c r="Q8" s="7" t="n"/>
      <c r="R8" s="6" t="inlineStr">
        <is>
          <t>Маркетинг (Игорь)</t>
        </is>
      </c>
      <c r="S8" s="6" t="n"/>
      <c r="T8" s="6" t="inlineStr">
        <is>
          <t>Нет</t>
        </is>
      </c>
      <c r="U8" s="5">
        <f>IF(AND(Q8&lt;&gt;"",Q8&lt;TODAY(),ISERROR(MATCH(J8,{"Продающий (первая оплата)","Отказ","Отложен"},0))),"Да","")</f>
        <v/>
      </c>
      <c r="V8" s="6" t="inlineStr">
        <is>
          <t>Созвон 09.09: «таблица в профи, там чуть-чуть психологи… с ними поаккуратнее». Таблица в репозитории отсутствует.</t>
        </is>
      </c>
    </row>
    <row r="9">
      <c r="A9" s="8" t="n">
        <v>8</v>
      </c>
      <c r="B9" s="9" t="inlineStr">
        <is>
          <t>Таня (довольная клиентка, пример)</t>
        </is>
      </c>
      <c r="C9" s="9" t="n"/>
      <c r="D9" s="9" t="inlineStr">
        <is>
          <t>Основатель (Макс)</t>
        </is>
      </c>
      <c r="E9" s="9" t="inlineStr">
        <is>
          <t>Довольные родители</t>
        </is>
      </c>
      <c r="F9" s="9" t="inlineStr">
        <is>
          <t>Родитель</t>
        </is>
      </c>
      <c r="G9" s="9" t="n"/>
      <c r="H9" s="9" t="inlineStr">
        <is>
          <t>Не знаем</t>
        </is>
      </c>
      <c r="I9" s="9" t="inlineStr">
        <is>
          <t>Да, купил</t>
        </is>
      </c>
      <c r="J9" s="9" t="inlineStr">
        <is>
          <t>Потенциальный</t>
        </is>
      </c>
      <c r="K9" s="10" t="n"/>
      <c r="L9" s="9" t="n"/>
      <c r="M9" s="9" t="inlineStr">
        <is>
          <t>Не обсуждали</t>
        </is>
      </c>
      <c r="N9" s="9" t="inlineStr">
        <is>
          <t>Нет</t>
        </is>
      </c>
      <c r="O9" s="9" t="n"/>
      <c r="P9" s="9" t="inlineStr">
        <is>
          <t>Уточнить у основателя, реальный ли контакт; предложить поделиться опытом</t>
        </is>
      </c>
      <c r="Q9" s="10" t="n"/>
      <c r="R9" s="9" t="inlineStr">
        <is>
          <t>Основатель (Макс)</t>
        </is>
      </c>
      <c r="S9" s="9" t="n"/>
      <c r="T9" s="9" t="inlineStr">
        <is>
          <t>Да</t>
        </is>
      </c>
      <c r="U9" s="8">
        <f>IF(AND(Q9&lt;&gt;"",Q9&lt;TODAY(),ISERROR(MATCH(J9,{"Продающий (первая оплата)","Отказ","Отложен"},0))),"Да","")</f>
        <v/>
      </c>
      <c r="V9" s="9" t="inlineStr">
        <is>
          <t>Созвон 09.09: пример рекомендации «как я, Таня, там классные ребята». Реальность контакта не подтверждена.</t>
        </is>
      </c>
    </row>
    <row r="10">
      <c r="A10" s="5">
        <f>IF(B10="","",ROW()-1)</f>
        <v/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7" t="n"/>
      <c r="L10" s="6" t="n"/>
      <c r="M10" s="6" t="n"/>
      <c r="N10" s="6" t="n"/>
      <c r="O10" s="6" t="n"/>
      <c r="P10" s="6" t="n"/>
      <c r="Q10" s="7" t="n"/>
      <c r="R10" s="6" t="n"/>
      <c r="S10" s="6" t="n"/>
      <c r="T10" s="6" t="n"/>
      <c r="U10" s="5">
        <f>IF(AND(Q10&lt;&gt;"",Q10&lt;TODAY(),ISERROR(MATCH(J10,{"Продающий (первая оплата)","Отказ","Отложен"},0))),"Да","")</f>
        <v/>
      </c>
      <c r="V10" s="6" t="n"/>
    </row>
    <row r="11">
      <c r="A11" s="8">
        <f>IF(B11="","",ROW()-1)</f>
        <v/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10" t="n"/>
      <c r="L11" s="9" t="n"/>
      <c r="M11" s="9" t="n"/>
      <c r="N11" s="9" t="n"/>
      <c r="O11" s="9" t="n"/>
      <c r="P11" s="9" t="n"/>
      <c r="Q11" s="10" t="n"/>
      <c r="R11" s="9" t="n"/>
      <c r="S11" s="9" t="n"/>
      <c r="T11" s="9" t="n"/>
      <c r="U11" s="8">
        <f>IF(AND(Q11&lt;&gt;"",Q11&lt;TODAY(),ISERROR(MATCH(J11,{"Продающий (первая оплата)","Отказ","Отложен"},0))),"Да","")</f>
        <v/>
      </c>
      <c r="V11" s="9" t="n"/>
    </row>
    <row r="12">
      <c r="A12" s="5">
        <f>IF(B12="","",ROW()-1)</f>
        <v/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7" t="n"/>
      <c r="L12" s="6" t="n"/>
      <c r="M12" s="6" t="n"/>
      <c r="N12" s="6" t="n"/>
      <c r="O12" s="6" t="n"/>
      <c r="P12" s="6" t="n"/>
      <c r="Q12" s="7" t="n"/>
      <c r="R12" s="6" t="n"/>
      <c r="S12" s="6" t="n"/>
      <c r="T12" s="6" t="n"/>
      <c r="U12" s="5">
        <f>IF(AND(Q12&lt;&gt;"",Q12&lt;TODAY(),ISERROR(MATCH(J12,{"Продающий (первая оплата)","Отказ","Отложен"},0))),"Да","")</f>
        <v/>
      </c>
      <c r="V12" s="6" t="n"/>
    </row>
    <row r="13">
      <c r="A13" s="8">
        <f>IF(B13="","",ROW()-1)</f>
        <v/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10" t="n"/>
      <c r="L13" s="9" t="n"/>
      <c r="M13" s="9" t="n"/>
      <c r="N13" s="9" t="n"/>
      <c r="O13" s="9" t="n"/>
      <c r="P13" s="9" t="n"/>
      <c r="Q13" s="10" t="n"/>
      <c r="R13" s="9" t="n"/>
      <c r="S13" s="9" t="n"/>
      <c r="T13" s="9" t="n"/>
      <c r="U13" s="8">
        <f>IF(AND(Q13&lt;&gt;"",Q13&lt;TODAY(),ISERROR(MATCH(J13,{"Продающий (первая оплата)","Отказ","Отложен"},0))),"Да","")</f>
        <v/>
      </c>
      <c r="V13" s="9" t="n"/>
    </row>
    <row r="14">
      <c r="A14" s="5">
        <f>IF(B14="","",ROW()-1)</f>
        <v/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7" t="n"/>
      <c r="L14" s="6" t="n"/>
      <c r="M14" s="6" t="n"/>
      <c r="N14" s="6" t="n"/>
      <c r="O14" s="6" t="n"/>
      <c r="P14" s="6" t="n"/>
      <c r="Q14" s="7" t="n"/>
      <c r="R14" s="6" t="n"/>
      <c r="S14" s="6" t="n"/>
      <c r="T14" s="6" t="n"/>
      <c r="U14" s="5">
        <f>IF(AND(Q14&lt;&gt;"",Q14&lt;TODAY(),ISERROR(MATCH(J14,{"Продающий (первая оплата)","Отказ","Отложен"},0))),"Да","")</f>
        <v/>
      </c>
      <c r="V14" s="6" t="n"/>
    </row>
    <row r="15">
      <c r="A15" s="8">
        <f>IF(B15="","",ROW()-1)</f>
        <v/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10" t="n"/>
      <c r="L15" s="9" t="n"/>
      <c r="M15" s="9" t="n"/>
      <c r="N15" s="9" t="n"/>
      <c r="O15" s="9" t="n"/>
      <c r="P15" s="9" t="n"/>
      <c r="Q15" s="10" t="n"/>
      <c r="R15" s="9" t="n"/>
      <c r="S15" s="9" t="n"/>
      <c r="T15" s="9" t="n"/>
      <c r="U15" s="8">
        <f>IF(AND(Q15&lt;&gt;"",Q15&lt;TODAY(),ISERROR(MATCH(J15,{"Продающий (первая оплата)","Отказ","Отложен"},0))),"Да","")</f>
        <v/>
      </c>
      <c r="V15" s="9" t="n"/>
    </row>
    <row r="16">
      <c r="A16" s="5">
        <f>IF(B16="","",ROW()-1)</f>
        <v/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7" t="n"/>
      <c r="L16" s="6" t="n"/>
      <c r="M16" s="6" t="n"/>
      <c r="N16" s="6" t="n"/>
      <c r="O16" s="6" t="n"/>
      <c r="P16" s="6" t="n"/>
      <c r="Q16" s="7" t="n"/>
      <c r="R16" s="6" t="n"/>
      <c r="S16" s="6" t="n"/>
      <c r="T16" s="6" t="n"/>
      <c r="U16" s="5">
        <f>IF(AND(Q16&lt;&gt;"",Q16&lt;TODAY(),ISERROR(MATCH(J16,{"Продающий (первая оплата)","Отказ","Отложен"},0))),"Да","")</f>
        <v/>
      </c>
      <c r="V16" s="6" t="n"/>
    </row>
    <row r="17">
      <c r="A17" s="8">
        <f>IF(B17="","",ROW()-1)</f>
        <v/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10" t="n"/>
      <c r="L17" s="9" t="n"/>
      <c r="M17" s="9" t="n"/>
      <c r="N17" s="9" t="n"/>
      <c r="O17" s="9" t="n"/>
      <c r="P17" s="9" t="n"/>
      <c r="Q17" s="10" t="n"/>
      <c r="R17" s="9" t="n"/>
      <c r="S17" s="9" t="n"/>
      <c r="T17" s="9" t="n"/>
      <c r="U17" s="8">
        <f>IF(AND(Q17&lt;&gt;"",Q17&lt;TODAY(),ISERROR(MATCH(J17,{"Продающий (первая оплата)","Отказ","Отложен"},0))),"Да","")</f>
        <v/>
      </c>
      <c r="V17" s="9" t="n"/>
    </row>
    <row r="18">
      <c r="A18" s="5">
        <f>IF(B18="","",ROW()-1)</f>
        <v/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7" t="n"/>
      <c r="L18" s="6" t="n"/>
      <c r="M18" s="6" t="n"/>
      <c r="N18" s="6" t="n"/>
      <c r="O18" s="6" t="n"/>
      <c r="P18" s="6" t="n"/>
      <c r="Q18" s="7" t="n"/>
      <c r="R18" s="6" t="n"/>
      <c r="S18" s="6" t="n"/>
      <c r="T18" s="6" t="n"/>
      <c r="U18" s="5">
        <f>IF(AND(Q18&lt;&gt;"",Q18&lt;TODAY(),ISERROR(MATCH(J18,{"Продающий (первая оплата)","Отказ","Отложен"},0))),"Да","")</f>
        <v/>
      </c>
      <c r="V18" s="6" t="n"/>
    </row>
    <row r="19">
      <c r="A19" s="8">
        <f>IF(B19="","",ROW()-1)</f>
        <v/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10" t="n"/>
      <c r="L19" s="9" t="n"/>
      <c r="M19" s="9" t="n"/>
      <c r="N19" s="9" t="n"/>
      <c r="O19" s="9" t="n"/>
      <c r="P19" s="9" t="n"/>
      <c r="Q19" s="10" t="n"/>
      <c r="R19" s="9" t="n"/>
      <c r="S19" s="9" t="n"/>
      <c r="T19" s="9" t="n"/>
      <c r="U19" s="8">
        <f>IF(AND(Q19&lt;&gt;"",Q19&lt;TODAY(),ISERROR(MATCH(J19,{"Продающий (первая оплата)","Отказ","Отложен"},0))),"Да","")</f>
        <v/>
      </c>
      <c r="V19" s="9" t="n"/>
    </row>
    <row r="20">
      <c r="A20" s="5">
        <f>IF(B20="","",ROW()-1)</f>
        <v/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7" t="n"/>
      <c r="L20" s="6" t="n"/>
      <c r="M20" s="6" t="n"/>
      <c r="N20" s="6" t="n"/>
      <c r="O20" s="6" t="n"/>
      <c r="P20" s="6" t="n"/>
      <c r="Q20" s="7" t="n"/>
      <c r="R20" s="6" t="n"/>
      <c r="S20" s="6" t="n"/>
      <c r="T20" s="6" t="n"/>
      <c r="U20" s="5">
        <f>IF(AND(Q20&lt;&gt;"",Q20&lt;TODAY(),ISERROR(MATCH(J20,{"Продающий (первая оплата)","Отказ","Отложен"},0))),"Да","")</f>
        <v/>
      </c>
      <c r="V20" s="6" t="n"/>
    </row>
    <row r="21">
      <c r="A21" s="8">
        <f>IF(B21="","",ROW()-1)</f>
        <v/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10" t="n"/>
      <c r="L21" s="9" t="n"/>
      <c r="M21" s="9" t="n"/>
      <c r="N21" s="9" t="n"/>
      <c r="O21" s="9" t="n"/>
      <c r="P21" s="9" t="n"/>
      <c r="Q21" s="10" t="n"/>
      <c r="R21" s="9" t="n"/>
      <c r="S21" s="9" t="n"/>
      <c r="T21" s="9" t="n"/>
      <c r="U21" s="8">
        <f>IF(AND(Q21&lt;&gt;"",Q21&lt;TODAY(),ISERROR(MATCH(J21,{"Продающий (первая оплата)","Отказ","Отложен"},0))),"Да","")</f>
        <v/>
      </c>
      <c r="V21" s="9" t="n"/>
    </row>
    <row r="22">
      <c r="A22" s="5">
        <f>IF(B22="","",ROW()-1)</f>
        <v/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7" t="n"/>
      <c r="L22" s="6" t="n"/>
      <c r="M22" s="6" t="n"/>
      <c r="N22" s="6" t="n"/>
      <c r="O22" s="6" t="n"/>
      <c r="P22" s="6" t="n"/>
      <c r="Q22" s="7" t="n"/>
      <c r="R22" s="6" t="n"/>
      <c r="S22" s="6" t="n"/>
      <c r="T22" s="6" t="n"/>
      <c r="U22" s="5">
        <f>IF(AND(Q22&lt;&gt;"",Q22&lt;TODAY(),ISERROR(MATCH(J22,{"Продающий (первая оплата)","Отказ","Отложен"},0))),"Да","")</f>
        <v/>
      </c>
      <c r="V22" s="6" t="n"/>
    </row>
    <row r="23">
      <c r="A23" s="8">
        <f>IF(B23="","",ROW()-1)</f>
        <v/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10" t="n"/>
      <c r="L23" s="9" t="n"/>
      <c r="M23" s="9" t="n"/>
      <c r="N23" s="9" t="n"/>
      <c r="O23" s="9" t="n"/>
      <c r="P23" s="9" t="n"/>
      <c r="Q23" s="10" t="n"/>
      <c r="R23" s="9" t="n"/>
      <c r="S23" s="9" t="n"/>
      <c r="T23" s="9" t="n"/>
      <c r="U23" s="8">
        <f>IF(AND(Q23&lt;&gt;"",Q23&lt;TODAY(),ISERROR(MATCH(J23,{"Продающий (первая оплата)","Отказ","Отложен"},0))),"Да","")</f>
        <v/>
      </c>
      <c r="V23" s="9" t="n"/>
    </row>
    <row r="24">
      <c r="A24" s="5">
        <f>IF(B24="","",ROW()-1)</f>
        <v/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7" t="n"/>
      <c r="L24" s="6" t="n"/>
      <c r="M24" s="6" t="n"/>
      <c r="N24" s="6" t="n"/>
      <c r="O24" s="6" t="n"/>
      <c r="P24" s="6" t="n"/>
      <c r="Q24" s="7" t="n"/>
      <c r="R24" s="6" t="n"/>
      <c r="S24" s="6" t="n"/>
      <c r="T24" s="6" t="n"/>
      <c r="U24" s="5">
        <f>IF(AND(Q24&lt;&gt;"",Q24&lt;TODAY(),ISERROR(MATCH(J24,{"Продающий (первая оплата)","Отказ","Отложен"},0))),"Да","")</f>
        <v/>
      </c>
      <c r="V24" s="6" t="n"/>
    </row>
    <row r="25">
      <c r="A25" s="8">
        <f>IF(B25="","",ROW()-1)</f>
        <v/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10" t="n"/>
      <c r="L25" s="9" t="n"/>
      <c r="M25" s="9" t="n"/>
      <c r="N25" s="9" t="n"/>
      <c r="O25" s="9" t="n"/>
      <c r="P25" s="9" t="n"/>
      <c r="Q25" s="10" t="n"/>
      <c r="R25" s="9" t="n"/>
      <c r="S25" s="9" t="n"/>
      <c r="T25" s="9" t="n"/>
      <c r="U25" s="8">
        <f>IF(AND(Q25&lt;&gt;"",Q25&lt;TODAY(),ISERROR(MATCH(J25,{"Продающий (первая оплата)","Отказ","Отложен"},0))),"Да","")</f>
        <v/>
      </c>
      <c r="V25" s="9" t="n"/>
    </row>
    <row r="26">
      <c r="A26" s="5">
        <f>IF(B26="","",ROW()-1)</f>
        <v/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7" t="n"/>
      <c r="L26" s="6" t="n"/>
      <c r="M26" s="6" t="n"/>
      <c r="N26" s="6" t="n"/>
      <c r="O26" s="6" t="n"/>
      <c r="P26" s="6" t="n"/>
      <c r="Q26" s="7" t="n"/>
      <c r="R26" s="6" t="n"/>
      <c r="S26" s="6" t="n"/>
      <c r="T26" s="6" t="n"/>
      <c r="U26" s="5">
        <f>IF(AND(Q26&lt;&gt;"",Q26&lt;TODAY(),ISERROR(MATCH(J26,{"Продающий (первая оплата)","Отказ","Отложен"},0))),"Да","")</f>
        <v/>
      </c>
      <c r="V26" s="6" t="n"/>
    </row>
    <row r="27">
      <c r="A27" s="8">
        <f>IF(B27="","",ROW()-1)</f>
        <v/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10" t="n"/>
      <c r="L27" s="9" t="n"/>
      <c r="M27" s="9" t="n"/>
      <c r="N27" s="9" t="n"/>
      <c r="O27" s="9" t="n"/>
      <c r="P27" s="9" t="n"/>
      <c r="Q27" s="10" t="n"/>
      <c r="R27" s="9" t="n"/>
      <c r="S27" s="9" t="n"/>
      <c r="T27" s="9" t="n"/>
      <c r="U27" s="8">
        <f>IF(AND(Q27&lt;&gt;"",Q27&lt;TODAY(),ISERROR(MATCH(J27,{"Продающий (первая оплата)","Отказ","Отложен"},0))),"Да","")</f>
        <v/>
      </c>
      <c r="V27" s="9" t="n"/>
    </row>
    <row r="28">
      <c r="A28" s="5">
        <f>IF(B28="","",ROW()-1)</f>
        <v/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7" t="n"/>
      <c r="L28" s="6" t="n"/>
      <c r="M28" s="6" t="n"/>
      <c r="N28" s="6" t="n"/>
      <c r="O28" s="6" t="n"/>
      <c r="P28" s="6" t="n"/>
      <c r="Q28" s="7" t="n"/>
      <c r="R28" s="6" t="n"/>
      <c r="S28" s="6" t="n"/>
      <c r="T28" s="6" t="n"/>
      <c r="U28" s="5">
        <f>IF(AND(Q28&lt;&gt;"",Q28&lt;TODAY(),ISERROR(MATCH(J28,{"Продающий (первая оплата)","Отказ","Отложен"},0))),"Да","")</f>
        <v/>
      </c>
      <c r="V28" s="6" t="n"/>
    </row>
    <row r="29">
      <c r="A29" s="8">
        <f>IF(B29="","",ROW()-1)</f>
        <v/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10" t="n"/>
      <c r="L29" s="9" t="n"/>
      <c r="M29" s="9" t="n"/>
      <c r="N29" s="9" t="n"/>
      <c r="O29" s="9" t="n"/>
      <c r="P29" s="9" t="n"/>
      <c r="Q29" s="10" t="n"/>
      <c r="R29" s="9" t="n"/>
      <c r="S29" s="9" t="n"/>
      <c r="T29" s="9" t="n"/>
      <c r="U29" s="8">
        <f>IF(AND(Q29&lt;&gt;"",Q29&lt;TODAY(),ISERROR(MATCH(J29,{"Продающий (первая оплата)","Отказ","Отложен"},0))),"Да","")</f>
        <v/>
      </c>
      <c r="V29" s="9" t="n"/>
    </row>
    <row r="30">
      <c r="A30" s="5">
        <f>IF(B30="","",ROW()-1)</f>
        <v/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7" t="n"/>
      <c r="L30" s="6" t="n"/>
      <c r="M30" s="6" t="n"/>
      <c r="N30" s="6" t="n"/>
      <c r="O30" s="6" t="n"/>
      <c r="P30" s="6" t="n"/>
      <c r="Q30" s="7" t="n"/>
      <c r="R30" s="6" t="n"/>
      <c r="S30" s="6" t="n"/>
      <c r="T30" s="6" t="n"/>
      <c r="U30" s="5">
        <f>IF(AND(Q30&lt;&gt;"",Q30&lt;TODAY(),ISERROR(MATCH(J30,{"Продающий (первая оплата)","Отказ","Отложен"},0))),"Да","")</f>
        <v/>
      </c>
      <c r="V30" s="6" t="n"/>
    </row>
    <row r="31">
      <c r="A31" s="8">
        <f>IF(B31="","",ROW()-1)</f>
        <v/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10" t="n"/>
      <c r="L31" s="9" t="n"/>
      <c r="M31" s="9" t="n"/>
      <c r="N31" s="9" t="n"/>
      <c r="O31" s="9" t="n"/>
      <c r="P31" s="9" t="n"/>
      <c r="Q31" s="10" t="n"/>
      <c r="R31" s="9" t="n"/>
      <c r="S31" s="9" t="n"/>
      <c r="T31" s="9" t="n"/>
      <c r="U31" s="8">
        <f>IF(AND(Q31&lt;&gt;"",Q31&lt;TODAY(),ISERROR(MATCH(J31,{"Продающий (первая оплата)","Отказ","Отложен"},0))),"Да","")</f>
        <v/>
      </c>
      <c r="V31" s="9" t="n"/>
    </row>
    <row r="32">
      <c r="A32" s="5">
        <f>IF(B32="","",ROW()-1)</f>
        <v/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7" t="n"/>
      <c r="L32" s="6" t="n"/>
      <c r="M32" s="6" t="n"/>
      <c r="N32" s="6" t="n"/>
      <c r="O32" s="6" t="n"/>
      <c r="P32" s="6" t="n"/>
      <c r="Q32" s="7" t="n"/>
      <c r="R32" s="6" t="n"/>
      <c r="S32" s="6" t="n"/>
      <c r="T32" s="6" t="n"/>
      <c r="U32" s="5">
        <f>IF(AND(Q32&lt;&gt;"",Q32&lt;TODAY(),ISERROR(MATCH(J32,{"Продающий (первая оплата)","Отказ","Отложен"},0))),"Да","")</f>
        <v/>
      </c>
      <c r="V32" s="6" t="n"/>
    </row>
    <row r="33">
      <c r="A33" s="8">
        <f>IF(B33="","",ROW()-1)</f>
        <v/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10" t="n"/>
      <c r="L33" s="9" t="n"/>
      <c r="M33" s="9" t="n"/>
      <c r="N33" s="9" t="n"/>
      <c r="O33" s="9" t="n"/>
      <c r="P33" s="9" t="n"/>
      <c r="Q33" s="10" t="n"/>
      <c r="R33" s="9" t="n"/>
      <c r="S33" s="9" t="n"/>
      <c r="T33" s="9" t="n"/>
      <c r="U33" s="8">
        <f>IF(AND(Q33&lt;&gt;"",Q33&lt;TODAY(),ISERROR(MATCH(J33,{"Продающий (первая оплата)","Отказ","Отложен"},0))),"Да","")</f>
        <v/>
      </c>
      <c r="V33" s="9" t="n"/>
    </row>
    <row r="34">
      <c r="A34" s="5">
        <f>IF(B34="","",ROW()-1)</f>
        <v/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7" t="n"/>
      <c r="L34" s="6" t="n"/>
      <c r="M34" s="6" t="n"/>
      <c r="N34" s="6" t="n"/>
      <c r="O34" s="6" t="n"/>
      <c r="P34" s="6" t="n"/>
      <c r="Q34" s="7" t="n"/>
      <c r="R34" s="6" t="n"/>
      <c r="S34" s="6" t="n"/>
      <c r="T34" s="6" t="n"/>
      <c r="U34" s="5">
        <f>IF(AND(Q34&lt;&gt;"",Q34&lt;TODAY(),ISERROR(MATCH(J34,{"Продающий (первая оплата)","Отказ","Отложен"},0))),"Да","")</f>
        <v/>
      </c>
      <c r="V34" s="6" t="n"/>
    </row>
    <row r="35">
      <c r="A35" s="8">
        <f>IF(B35="","",ROW()-1)</f>
        <v/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10" t="n"/>
      <c r="L35" s="9" t="n"/>
      <c r="M35" s="9" t="n"/>
      <c r="N35" s="9" t="n"/>
      <c r="O35" s="9" t="n"/>
      <c r="P35" s="9" t="n"/>
      <c r="Q35" s="10" t="n"/>
      <c r="R35" s="9" t="n"/>
      <c r="S35" s="9" t="n"/>
      <c r="T35" s="9" t="n"/>
      <c r="U35" s="8">
        <f>IF(AND(Q35&lt;&gt;"",Q35&lt;TODAY(),ISERROR(MATCH(J35,{"Продающий (первая оплата)","Отказ","Отложен"},0))),"Да","")</f>
        <v/>
      </c>
      <c r="V35" s="9" t="n"/>
    </row>
    <row r="36">
      <c r="A36" s="5">
        <f>IF(B36="","",ROW()-1)</f>
        <v/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7" t="n"/>
      <c r="L36" s="6" t="n"/>
      <c r="M36" s="6" t="n"/>
      <c r="N36" s="6" t="n"/>
      <c r="O36" s="6" t="n"/>
      <c r="P36" s="6" t="n"/>
      <c r="Q36" s="7" t="n"/>
      <c r="R36" s="6" t="n"/>
      <c r="S36" s="6" t="n"/>
      <c r="T36" s="6" t="n"/>
      <c r="U36" s="5">
        <f>IF(AND(Q36&lt;&gt;"",Q36&lt;TODAY(),ISERROR(MATCH(J36,{"Продающий (первая оплата)","Отказ","Отложен"},0))),"Да","")</f>
        <v/>
      </c>
      <c r="V36" s="6" t="n"/>
    </row>
    <row r="37">
      <c r="A37" s="8">
        <f>IF(B37="","",ROW()-1)</f>
        <v/>
      </c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10" t="n"/>
      <c r="L37" s="9" t="n"/>
      <c r="M37" s="9" t="n"/>
      <c r="N37" s="9" t="n"/>
      <c r="O37" s="9" t="n"/>
      <c r="P37" s="9" t="n"/>
      <c r="Q37" s="10" t="n"/>
      <c r="R37" s="9" t="n"/>
      <c r="S37" s="9" t="n"/>
      <c r="T37" s="9" t="n"/>
      <c r="U37" s="8">
        <f>IF(AND(Q37&lt;&gt;"",Q37&lt;TODAY(),ISERROR(MATCH(J37,{"Продающий (первая оплата)","Отказ","Отложен"},0))),"Да","")</f>
        <v/>
      </c>
      <c r="V37" s="9" t="n"/>
    </row>
    <row r="38">
      <c r="A38" s="5">
        <f>IF(B38="","",ROW()-1)</f>
        <v/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7" t="n"/>
      <c r="L38" s="6" t="n"/>
      <c r="M38" s="6" t="n"/>
      <c r="N38" s="6" t="n"/>
      <c r="O38" s="6" t="n"/>
      <c r="P38" s="6" t="n"/>
      <c r="Q38" s="7" t="n"/>
      <c r="R38" s="6" t="n"/>
      <c r="S38" s="6" t="n"/>
      <c r="T38" s="6" t="n"/>
      <c r="U38" s="5">
        <f>IF(AND(Q38&lt;&gt;"",Q38&lt;TODAY(),ISERROR(MATCH(J38,{"Продающий (первая оплата)","Отказ","Отложен"},0))),"Да","")</f>
        <v/>
      </c>
      <c r="V38" s="6" t="n"/>
    </row>
    <row r="39">
      <c r="A39" s="8">
        <f>IF(B39="","",ROW()-1)</f>
        <v/>
      </c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10" t="n"/>
      <c r="L39" s="9" t="n"/>
      <c r="M39" s="9" t="n"/>
      <c r="N39" s="9" t="n"/>
      <c r="O39" s="9" t="n"/>
      <c r="P39" s="9" t="n"/>
      <c r="Q39" s="10" t="n"/>
      <c r="R39" s="9" t="n"/>
      <c r="S39" s="9" t="n"/>
      <c r="T39" s="9" t="n"/>
      <c r="U39" s="8">
        <f>IF(AND(Q39&lt;&gt;"",Q39&lt;TODAY(),ISERROR(MATCH(J39,{"Продающий (первая оплата)","Отказ","Отложен"},0))),"Да","")</f>
        <v/>
      </c>
      <c r="V39" s="9" t="n"/>
    </row>
    <row r="40">
      <c r="A40" s="5">
        <f>IF(B40="","",ROW()-1)</f>
        <v/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7" t="n"/>
      <c r="L40" s="6" t="n"/>
      <c r="M40" s="6" t="n"/>
      <c r="N40" s="6" t="n"/>
      <c r="O40" s="6" t="n"/>
      <c r="P40" s="6" t="n"/>
      <c r="Q40" s="7" t="n"/>
      <c r="R40" s="6" t="n"/>
      <c r="S40" s="6" t="n"/>
      <c r="T40" s="6" t="n"/>
      <c r="U40" s="5">
        <f>IF(AND(Q40&lt;&gt;"",Q40&lt;TODAY(),ISERROR(MATCH(J40,{"Продающий (первая оплата)","Отказ","Отложен"},0))),"Да","")</f>
        <v/>
      </c>
      <c r="V40" s="6" t="n"/>
    </row>
    <row r="41">
      <c r="A41" s="8">
        <f>IF(B41="","",ROW()-1)</f>
        <v/>
      </c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10" t="n"/>
      <c r="L41" s="9" t="n"/>
      <c r="M41" s="9" t="n"/>
      <c r="N41" s="9" t="n"/>
      <c r="O41" s="9" t="n"/>
      <c r="P41" s="9" t="n"/>
      <c r="Q41" s="10" t="n"/>
      <c r="R41" s="9" t="n"/>
      <c r="S41" s="9" t="n"/>
      <c r="T41" s="9" t="n"/>
      <c r="U41" s="8">
        <f>IF(AND(Q41&lt;&gt;"",Q41&lt;TODAY(),ISERROR(MATCH(J41,{"Продающий (первая оплата)","Отказ","Отложен"},0))),"Да","")</f>
        <v/>
      </c>
      <c r="V41" s="9" t="n"/>
    </row>
    <row r="42">
      <c r="A42" s="5">
        <f>IF(B42="","",ROW()-1)</f>
        <v/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7" t="n"/>
      <c r="L42" s="6" t="n"/>
      <c r="M42" s="6" t="n"/>
      <c r="N42" s="6" t="n"/>
      <c r="O42" s="6" t="n"/>
      <c r="P42" s="6" t="n"/>
      <c r="Q42" s="7" t="n"/>
      <c r="R42" s="6" t="n"/>
      <c r="S42" s="6" t="n"/>
      <c r="T42" s="6" t="n"/>
      <c r="U42" s="5">
        <f>IF(AND(Q42&lt;&gt;"",Q42&lt;TODAY(),ISERROR(MATCH(J42,{"Продающий (первая оплата)","Отказ","Отложен"},0))),"Да","")</f>
        <v/>
      </c>
      <c r="V42" s="6" t="n"/>
    </row>
    <row r="43">
      <c r="A43" s="8">
        <f>IF(B43="","",ROW()-1)</f>
        <v/>
      </c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10" t="n"/>
      <c r="L43" s="9" t="n"/>
      <c r="M43" s="9" t="n"/>
      <c r="N43" s="9" t="n"/>
      <c r="O43" s="9" t="n"/>
      <c r="P43" s="9" t="n"/>
      <c r="Q43" s="10" t="n"/>
      <c r="R43" s="9" t="n"/>
      <c r="S43" s="9" t="n"/>
      <c r="T43" s="9" t="n"/>
      <c r="U43" s="8">
        <f>IF(AND(Q43&lt;&gt;"",Q43&lt;TODAY(),ISERROR(MATCH(J43,{"Продающий (первая оплата)","Отказ","Отложен"},0))),"Да","")</f>
        <v/>
      </c>
      <c r="V43" s="9" t="n"/>
    </row>
    <row r="44">
      <c r="A44" s="5">
        <f>IF(B44="","",ROW()-1)</f>
        <v/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7" t="n"/>
      <c r="L44" s="6" t="n"/>
      <c r="M44" s="6" t="n"/>
      <c r="N44" s="6" t="n"/>
      <c r="O44" s="6" t="n"/>
      <c r="P44" s="6" t="n"/>
      <c r="Q44" s="7" t="n"/>
      <c r="R44" s="6" t="n"/>
      <c r="S44" s="6" t="n"/>
      <c r="T44" s="6" t="n"/>
      <c r="U44" s="5">
        <f>IF(AND(Q44&lt;&gt;"",Q44&lt;TODAY(),ISERROR(MATCH(J44,{"Продающий (первая оплата)","Отказ","Отложен"},0))),"Да","")</f>
        <v/>
      </c>
      <c r="V44" s="6" t="n"/>
    </row>
    <row r="45">
      <c r="A45" s="8">
        <f>IF(B45="","",ROW()-1)</f>
        <v/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10" t="n"/>
      <c r="L45" s="9" t="n"/>
      <c r="M45" s="9" t="n"/>
      <c r="N45" s="9" t="n"/>
      <c r="O45" s="9" t="n"/>
      <c r="P45" s="9" t="n"/>
      <c r="Q45" s="10" t="n"/>
      <c r="R45" s="9" t="n"/>
      <c r="S45" s="9" t="n"/>
      <c r="T45" s="9" t="n"/>
      <c r="U45" s="8">
        <f>IF(AND(Q45&lt;&gt;"",Q45&lt;TODAY(),ISERROR(MATCH(J45,{"Продающий (первая оплата)","Отказ","Отложен"},0))),"Да","")</f>
        <v/>
      </c>
      <c r="V45" s="9" t="n"/>
    </row>
    <row r="46">
      <c r="A46" s="5">
        <f>IF(B46="","",ROW()-1)</f>
        <v/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7" t="n"/>
      <c r="L46" s="6" t="n"/>
      <c r="M46" s="6" t="n"/>
      <c r="N46" s="6" t="n"/>
      <c r="O46" s="6" t="n"/>
      <c r="P46" s="6" t="n"/>
      <c r="Q46" s="7" t="n"/>
      <c r="R46" s="6" t="n"/>
      <c r="S46" s="6" t="n"/>
      <c r="T46" s="6" t="n"/>
      <c r="U46" s="5">
        <f>IF(AND(Q46&lt;&gt;"",Q46&lt;TODAY(),ISERROR(MATCH(J46,{"Продающий (первая оплата)","Отказ","Отложен"},0))),"Да","")</f>
        <v/>
      </c>
      <c r="V46" s="6" t="n"/>
    </row>
    <row r="47">
      <c r="A47" s="8">
        <f>IF(B47="","",ROW()-1)</f>
        <v/>
      </c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10" t="n"/>
      <c r="L47" s="9" t="n"/>
      <c r="M47" s="9" t="n"/>
      <c r="N47" s="9" t="n"/>
      <c r="O47" s="9" t="n"/>
      <c r="P47" s="9" t="n"/>
      <c r="Q47" s="10" t="n"/>
      <c r="R47" s="9" t="n"/>
      <c r="S47" s="9" t="n"/>
      <c r="T47" s="9" t="n"/>
      <c r="U47" s="8">
        <f>IF(AND(Q47&lt;&gt;"",Q47&lt;TODAY(),ISERROR(MATCH(J47,{"Продающий (первая оплата)","Отказ","Отложен"},0))),"Да","")</f>
        <v/>
      </c>
      <c r="V47" s="9" t="n"/>
    </row>
    <row r="48">
      <c r="A48" s="5">
        <f>IF(B48="","",ROW()-1)</f>
        <v/>
      </c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7" t="n"/>
      <c r="L48" s="6" t="n"/>
      <c r="M48" s="6" t="n"/>
      <c r="N48" s="6" t="n"/>
      <c r="O48" s="6" t="n"/>
      <c r="P48" s="6" t="n"/>
      <c r="Q48" s="7" t="n"/>
      <c r="R48" s="6" t="n"/>
      <c r="S48" s="6" t="n"/>
      <c r="T48" s="6" t="n"/>
      <c r="U48" s="5">
        <f>IF(AND(Q48&lt;&gt;"",Q48&lt;TODAY(),ISERROR(MATCH(J48,{"Продающий (первая оплата)","Отказ","Отложен"},0))),"Да","")</f>
        <v/>
      </c>
      <c r="V48" s="6" t="n"/>
    </row>
    <row r="49">
      <c r="A49" s="8">
        <f>IF(B49="","",ROW()-1)</f>
        <v/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10" t="n"/>
      <c r="L49" s="9" t="n"/>
      <c r="M49" s="9" t="n"/>
      <c r="N49" s="9" t="n"/>
      <c r="O49" s="9" t="n"/>
      <c r="P49" s="9" t="n"/>
      <c r="Q49" s="10" t="n"/>
      <c r="R49" s="9" t="n"/>
      <c r="S49" s="9" t="n"/>
      <c r="T49" s="9" t="n"/>
      <c r="U49" s="8">
        <f>IF(AND(Q49&lt;&gt;"",Q49&lt;TODAY(),ISERROR(MATCH(J49,{"Продающий (первая оплата)","Отказ","Отложен"},0))),"Да","")</f>
        <v/>
      </c>
      <c r="V49" s="9" t="n"/>
    </row>
    <row r="50">
      <c r="A50" s="5">
        <f>IF(B50="","",ROW()-1)</f>
        <v/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7" t="n"/>
      <c r="L50" s="6" t="n"/>
      <c r="M50" s="6" t="n"/>
      <c r="N50" s="6" t="n"/>
      <c r="O50" s="6" t="n"/>
      <c r="P50" s="6" t="n"/>
      <c r="Q50" s="7" t="n"/>
      <c r="R50" s="6" t="n"/>
      <c r="S50" s="6" t="n"/>
      <c r="T50" s="6" t="n"/>
      <c r="U50" s="5">
        <f>IF(AND(Q50&lt;&gt;"",Q50&lt;TODAY(),ISERROR(MATCH(J50,{"Продающий (первая оплата)","Отказ","Отложен"},0))),"Да","")</f>
        <v/>
      </c>
      <c r="V50" s="6" t="n"/>
    </row>
    <row r="51">
      <c r="A51" s="8">
        <f>IF(B51="","",ROW()-1)</f>
        <v/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10" t="n"/>
      <c r="L51" s="9" t="n"/>
      <c r="M51" s="9" t="n"/>
      <c r="N51" s="9" t="n"/>
      <c r="O51" s="9" t="n"/>
      <c r="P51" s="9" t="n"/>
      <c r="Q51" s="10" t="n"/>
      <c r="R51" s="9" t="n"/>
      <c r="S51" s="9" t="n"/>
      <c r="T51" s="9" t="n"/>
      <c r="U51" s="8">
        <f>IF(AND(Q51&lt;&gt;"",Q51&lt;TODAY(),ISERROR(MATCH(J51,{"Продающий (первая оплата)","Отказ","Отложен"},0))),"Да","")</f>
        <v/>
      </c>
      <c r="V51" s="9" t="n"/>
    </row>
    <row r="52">
      <c r="A52" s="5">
        <f>IF(B52="","",ROW()-1)</f>
        <v/>
      </c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7" t="n"/>
      <c r="L52" s="6" t="n"/>
      <c r="M52" s="6" t="n"/>
      <c r="N52" s="6" t="n"/>
      <c r="O52" s="6" t="n"/>
      <c r="P52" s="6" t="n"/>
      <c r="Q52" s="7" t="n"/>
      <c r="R52" s="6" t="n"/>
      <c r="S52" s="6" t="n"/>
      <c r="T52" s="6" t="n"/>
      <c r="U52" s="5">
        <f>IF(AND(Q52&lt;&gt;"",Q52&lt;TODAY(),ISERROR(MATCH(J52,{"Продающий (первая оплата)","Отказ","Отложен"},0))),"Да","")</f>
        <v/>
      </c>
      <c r="V52" s="6" t="n"/>
    </row>
    <row r="53">
      <c r="A53" s="8">
        <f>IF(B53="","",ROW()-1)</f>
        <v/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10" t="n"/>
      <c r="L53" s="9" t="n"/>
      <c r="M53" s="9" t="n"/>
      <c r="N53" s="9" t="n"/>
      <c r="O53" s="9" t="n"/>
      <c r="P53" s="9" t="n"/>
      <c r="Q53" s="10" t="n"/>
      <c r="R53" s="9" t="n"/>
      <c r="S53" s="9" t="n"/>
      <c r="T53" s="9" t="n"/>
      <c r="U53" s="8">
        <f>IF(AND(Q53&lt;&gt;"",Q53&lt;TODAY(),ISERROR(MATCH(J53,{"Продающий (первая оплата)","Отказ","Отложен"},0))),"Да","")</f>
        <v/>
      </c>
      <c r="V53" s="9" t="n"/>
    </row>
    <row r="54">
      <c r="A54" s="5">
        <f>IF(B54="","",ROW()-1)</f>
        <v/>
      </c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7" t="n"/>
      <c r="L54" s="6" t="n"/>
      <c r="M54" s="6" t="n"/>
      <c r="N54" s="6" t="n"/>
      <c r="O54" s="6" t="n"/>
      <c r="P54" s="6" t="n"/>
      <c r="Q54" s="7" t="n"/>
      <c r="R54" s="6" t="n"/>
      <c r="S54" s="6" t="n"/>
      <c r="T54" s="6" t="n"/>
      <c r="U54" s="5">
        <f>IF(AND(Q54&lt;&gt;"",Q54&lt;TODAY(),ISERROR(MATCH(J54,{"Продающий (первая оплата)","Отказ","Отложен"},0))),"Да","")</f>
        <v/>
      </c>
      <c r="V54" s="6" t="n"/>
    </row>
    <row r="55">
      <c r="A55" s="8">
        <f>IF(B55="","",ROW()-1)</f>
        <v/>
      </c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10" t="n"/>
      <c r="L55" s="9" t="n"/>
      <c r="M55" s="9" t="n"/>
      <c r="N55" s="9" t="n"/>
      <c r="O55" s="9" t="n"/>
      <c r="P55" s="9" t="n"/>
      <c r="Q55" s="10" t="n"/>
      <c r="R55" s="9" t="n"/>
      <c r="S55" s="9" t="n"/>
      <c r="T55" s="9" t="n"/>
      <c r="U55" s="8">
        <f>IF(AND(Q55&lt;&gt;"",Q55&lt;TODAY(),ISERROR(MATCH(J55,{"Продающий (первая оплата)","Отказ","Отложен"},0))),"Да","")</f>
        <v/>
      </c>
      <c r="V55" s="9" t="n"/>
    </row>
    <row r="56">
      <c r="A56" s="5">
        <f>IF(B56="","",ROW()-1)</f>
        <v/>
      </c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7" t="n"/>
      <c r="L56" s="6" t="n"/>
      <c r="M56" s="6" t="n"/>
      <c r="N56" s="6" t="n"/>
      <c r="O56" s="6" t="n"/>
      <c r="P56" s="6" t="n"/>
      <c r="Q56" s="7" t="n"/>
      <c r="R56" s="6" t="n"/>
      <c r="S56" s="6" t="n"/>
      <c r="T56" s="6" t="n"/>
      <c r="U56" s="5">
        <f>IF(AND(Q56&lt;&gt;"",Q56&lt;TODAY(),ISERROR(MATCH(J56,{"Продающий (первая оплата)","Отказ","Отложен"},0))),"Да","")</f>
        <v/>
      </c>
      <c r="V56" s="6" t="n"/>
    </row>
    <row r="57">
      <c r="A57" s="8">
        <f>IF(B57="","",ROW()-1)</f>
        <v/>
      </c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10" t="n"/>
      <c r="L57" s="9" t="n"/>
      <c r="M57" s="9" t="n"/>
      <c r="N57" s="9" t="n"/>
      <c r="O57" s="9" t="n"/>
      <c r="P57" s="9" t="n"/>
      <c r="Q57" s="10" t="n"/>
      <c r="R57" s="9" t="n"/>
      <c r="S57" s="9" t="n"/>
      <c r="T57" s="9" t="n"/>
      <c r="U57" s="8">
        <f>IF(AND(Q57&lt;&gt;"",Q57&lt;TODAY(),ISERROR(MATCH(J57,{"Продающий (первая оплата)","Отказ","Отложен"},0))),"Да","")</f>
        <v/>
      </c>
      <c r="V57" s="9" t="n"/>
    </row>
    <row r="58">
      <c r="A58" s="5">
        <f>IF(B58="","",ROW()-1)</f>
        <v/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7" t="n"/>
      <c r="L58" s="6" t="n"/>
      <c r="M58" s="6" t="n"/>
      <c r="N58" s="6" t="n"/>
      <c r="O58" s="6" t="n"/>
      <c r="P58" s="6" t="n"/>
      <c r="Q58" s="7" t="n"/>
      <c r="R58" s="6" t="n"/>
      <c r="S58" s="6" t="n"/>
      <c r="T58" s="6" t="n"/>
      <c r="U58" s="5">
        <f>IF(AND(Q58&lt;&gt;"",Q58&lt;TODAY(),ISERROR(MATCH(J58,{"Продающий (первая оплата)","Отказ","Отложен"},0))),"Да","")</f>
        <v/>
      </c>
      <c r="V58" s="6" t="n"/>
    </row>
    <row r="59">
      <c r="A59" s="8">
        <f>IF(B59="","",ROW()-1)</f>
        <v/>
      </c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10" t="n"/>
      <c r="L59" s="9" t="n"/>
      <c r="M59" s="9" t="n"/>
      <c r="N59" s="9" t="n"/>
      <c r="O59" s="9" t="n"/>
      <c r="P59" s="9" t="n"/>
      <c r="Q59" s="10" t="n"/>
      <c r="R59" s="9" t="n"/>
      <c r="S59" s="9" t="n"/>
      <c r="T59" s="9" t="n"/>
      <c r="U59" s="8">
        <f>IF(AND(Q59&lt;&gt;"",Q59&lt;TODAY(),ISERROR(MATCH(J59,{"Продающий (первая оплата)","Отказ","Отложен"},0))),"Да","")</f>
        <v/>
      </c>
      <c r="V59" s="9" t="n"/>
    </row>
    <row r="60">
      <c r="A60" s="5">
        <f>IF(B60="","",ROW()-1)</f>
        <v/>
      </c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7" t="n"/>
      <c r="L60" s="6" t="n"/>
      <c r="M60" s="6" t="n"/>
      <c r="N60" s="6" t="n"/>
      <c r="O60" s="6" t="n"/>
      <c r="P60" s="6" t="n"/>
      <c r="Q60" s="7" t="n"/>
      <c r="R60" s="6" t="n"/>
      <c r="S60" s="6" t="n"/>
      <c r="T60" s="6" t="n"/>
      <c r="U60" s="5">
        <f>IF(AND(Q60&lt;&gt;"",Q60&lt;TODAY(),ISERROR(MATCH(J60,{"Продающий (первая оплата)","Отказ","Отложен"},0))),"Да","")</f>
        <v/>
      </c>
      <c r="V60" s="6" t="n"/>
    </row>
  </sheetData>
  <autoFilter ref="A1:V60"/>
  <dataValidations count="8">
    <dataValidation sqref="E2:E60" showDropDown="0" showInputMessage="0" showErrorMessage="0" allowBlank="1" errorTitle="Недопустимое значение" error="Выберите значение из списка (лист «Справочники»)" type="list">
      <formula1>=Справочники!$A$4:$A$10</formula1>
    </dataValidation>
    <dataValidation sqref="H2:H60" showDropDown="0" showInputMessage="0" showErrorMessage="0" allowBlank="1" errorTitle="Недопустимое значение" error="Выберите значение из списка (лист «Справочники»)" type="list">
      <formula1>=Справочники!$E$4:$E$6</formula1>
    </dataValidation>
    <dataValidation sqref="I2:I60" showDropDown="0" showInputMessage="0" showErrorMessage="0" allowBlank="1" errorTitle="Недопустимое значение" error="Выберите значение из списка (лист «Справочники»)" type="list">
      <formula1>=Справочники!$F$4:$F$7</formula1>
    </dataValidation>
    <dataValidation sqref="J2:J60" showDropDown="0" showInputMessage="0" showErrorMessage="0" allowBlank="1" errorTitle="Недопустимое значение" error="Выберите значение из списка (лист «Справочники»)" type="list">
      <formula1>=Справочники!$B$4:$B$12</formula1>
    </dataValidation>
    <dataValidation sqref="M2:M60" showDropDown="0" showInputMessage="0" showErrorMessage="0" allowBlank="1" errorTitle="Недопустимое значение" error="Выберите значение из списка (лист «Справочники»)" type="list">
      <formula1>=Справочники!$C$4:$C$8</formula1>
    </dataValidation>
    <dataValidation sqref="N2:N60" showDropDown="0" showInputMessage="0" showErrorMessage="0" allowBlank="1" errorTitle="Недопустимое значение" error="Выберите значение из списка (лист «Справочники»)" type="list">
      <formula1>=Справочники!$D$4:$D$12</formula1>
    </dataValidation>
    <dataValidation sqref="R2:R60" showDropDown="0" showInputMessage="0" showErrorMessage="0" allowBlank="1" errorTitle="Недопустимое значение" error="Выберите значение из списка (лист «Справочники»)" type="list">
      <formula1>=Справочники!$H$4:$H$8</formula1>
    </dataValidation>
    <dataValidation sqref="T2:T60" showDropDown="0" showInputMessage="0" showErrorMessage="0" allowBlank="1" errorTitle="Недопустимое значение" error="Выберите значение из списка (лист «Справочники»)" type="list">
      <formula1>=Справочники!$E$4:$E$6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8" customWidth="1" min="3" max="3"/>
    <col width="20" customWidth="1" min="4" max="4"/>
  </cols>
  <sheetData>
    <row r="1">
      <c r="A1" s="11" t="inlineStr">
        <is>
          <t>Сводка по реестру контактов партнёрской сети</t>
        </is>
      </c>
    </row>
    <row r="2">
      <c r="A2" s="8" t="inlineStr">
        <is>
          <t>Все числа — формулы по листу «Контакты». Цель первой недели: не менее 10 состоявшихся разговоров за 5 дней (созвон 09.09).</t>
        </is>
      </c>
    </row>
    <row r="4">
      <c r="A4" s="12" t="inlineStr">
        <is>
          <t>Показатель</t>
        </is>
      </c>
      <c r="B4" s="12" t="inlineStr">
        <is>
          <t>Значение</t>
        </is>
      </c>
      <c r="C4" s="12" t="inlineStr">
        <is>
          <t>Цель</t>
        </is>
      </c>
    </row>
    <row r="5">
      <c r="A5" s="8" t="inlineStr">
        <is>
          <t>Строк в реестре</t>
        </is>
      </c>
      <c r="B5" s="13">
        <f>COUNTA(Контакты!$B$2:$B$60)</f>
        <v/>
      </c>
      <c r="C5" s="14" t="n"/>
    </row>
    <row r="6">
      <c r="A6" s="8" t="inlineStr">
        <is>
          <t>Состоявшихся контактов (двусторонний обмен и дальше)</t>
        </is>
      </c>
      <c r="B6" s="13">
        <f>COUNTIF(Контакты!$J$2:$J$60,"Контакт состоялся")+COUNTIF(Контакты!$J$2:$J$60,"Есть интерес")+COUNTIF(Контакты!$J$2:$J$60,"Условия отправлены")+COUNTIF(Контакты!$J$2:$J$60,"Подключён (оферта принята)")+COUNTIF(Контакты!$J$2:$J$60,"Активирован (первое обращение)")+COUNTIF(Контакты!$J$2:$J$60,"Продающий (первая оплата)")</f>
        <v/>
      </c>
      <c r="C6" s="14" t="n">
        <v>10</v>
      </c>
    </row>
    <row r="7">
      <c r="A7" s="8" t="inlineStr">
        <is>
          <t>Есть интерес</t>
        </is>
      </c>
      <c r="B7" s="13">
        <f>COUNTIF(Контакты!$J$2:$J$60,"Есть интерес")</f>
        <v/>
      </c>
      <c r="C7" s="14" t="n"/>
    </row>
    <row r="8">
      <c r="A8" s="8" t="inlineStr">
        <is>
          <t>Условия отправлены</t>
        </is>
      </c>
      <c r="B8" s="13">
        <f>COUNTIF(Контакты!$J$2:$J$60,"Условия отправлены")</f>
        <v/>
      </c>
      <c r="C8" s="14" t="n"/>
    </row>
    <row r="9">
      <c r="A9" s="8" t="inlineStr">
        <is>
          <t>Подключено (оферта принята)</t>
        </is>
      </c>
      <c r="B9" s="13">
        <f>COUNTIF(Контакты!$J$2:$J$60,"Подключён (оферта принята)")</f>
        <v/>
      </c>
      <c r="C9" s="14" t="n">
        <v>2</v>
      </c>
    </row>
    <row r="10">
      <c r="A10" s="8" t="inlineStr">
        <is>
          <t>Активировано (первое обращение)</t>
        </is>
      </c>
      <c r="B10" s="13">
        <f>COUNTIF(Контакты!$J$2:$J$60,"Активирован (первое обращение)")</f>
        <v/>
      </c>
      <c r="C10" s="14" t="n"/>
    </row>
    <row r="11">
      <c r="A11" s="8" t="inlineStr">
        <is>
          <t>Продающих (первая оплата)</t>
        </is>
      </c>
      <c r="B11" s="13">
        <f>COUNTIF(Контакты!$J$2:$J$60,"Продающий (первая оплата)")</f>
        <v/>
      </c>
      <c r="C11" s="14" t="n"/>
    </row>
    <row r="12">
      <c r="A12" s="8" t="inlineStr">
        <is>
          <t>Отказов</t>
        </is>
      </c>
      <c r="B12" s="13">
        <f>COUNTIF(Контакты!$J$2:$J$60,"Отказ")</f>
        <v/>
      </c>
      <c r="C12" s="14" t="n"/>
    </row>
    <row r="13">
      <c r="A13" s="8" t="inlineStr">
        <is>
          <t>Просроченных следующих действий</t>
        </is>
      </c>
      <c r="B13" s="13">
        <f>COUNTIF(Контакты!$U$2:$U$60,"Да")</f>
        <v/>
      </c>
      <c r="C13" s="14" t="n">
        <v>0</v>
      </c>
    </row>
    <row r="14">
      <c r="A14" s="8" t="inlineStr">
        <is>
          <t>Из круга основателя</t>
        </is>
      </c>
      <c r="B14" s="13">
        <f>COUNTIF(Контакты!$T$2:$T$60,"Да")</f>
        <v/>
      </c>
      <c r="C14" s="14" t="n"/>
    </row>
    <row r="15">
      <c r="A15" s="8" t="inlineStr">
        <is>
          <t>Нерезидентов (в пилоте не выплачиваются)</t>
        </is>
      </c>
      <c r="B15" s="13">
        <f>COUNTIF(Контакты!$H$2:$H$60,"Нет")</f>
        <v/>
      </c>
      <c r="C15" s="14" t="n"/>
    </row>
    <row r="17">
      <c r="A17" s="13" t="inlineStr">
        <is>
          <t>По когортам</t>
        </is>
      </c>
    </row>
    <row r="18">
      <c r="A18" s="12" t="inlineStr">
        <is>
          <t>Когорта</t>
        </is>
      </c>
      <c r="B18" s="12" t="inlineStr">
        <is>
          <t>Всего</t>
        </is>
      </c>
      <c r="C18" s="12" t="inlineStr">
        <is>
          <t>Контакт и дальше</t>
        </is>
      </c>
      <c r="D18" s="12" t="inlineStr">
        <is>
          <t>Подключено и дальше</t>
        </is>
      </c>
    </row>
    <row r="19">
      <c r="A19" s="8" t="inlineStr">
        <is>
          <t>Активные преподаватели</t>
        </is>
      </c>
      <c r="B19" s="8">
        <f>COUNTIF(Контакты!$E$2:$E$60,A19)</f>
        <v/>
      </c>
      <c r="C19" s="8">
        <f>COUNTIFS(Контакты!$E$2:$E$60,A19,Контакты!$J$2:$J$60,"Контакт состоялся")+COUNTIFS(Контакты!$E$2:$E$60,A19,Контакты!$J$2:$J$60,"Есть интерес")+COUNTIFS(Контакты!$E$2:$E$60,A19,Контакты!$J$2:$J$60,"Условия отправлены")+COUNTIFS(Контакты!$E$2:$E$60,A19,Контакты!$J$2:$J$60,"Подключён (оферта принята)")+COUNTIFS(Контакты!$E$2:$E$60,A19,Контакты!$J$2:$J$60,"Активирован (первое обращение)")+COUNTIFS(Контакты!$E$2:$E$60,A19,Контакты!$J$2:$J$60,"Продающий (первая оплата)")</f>
        <v/>
      </c>
      <c r="D19" s="8">
        <f>COUNTIFS(Контакты!$E$2:$E$60,A19,Контакты!$J$2:$J$60,"Подключён (оферта принята)")+COUNTIFS(Контакты!$E$2:$E$60,A19,Контакты!$J$2:$J$60,"Активирован (первое обращение)")+COUNTIFS(Контакты!$E$2:$E$60,A19,Контакты!$J$2:$J$60,"Продающий (первая оплата)")</f>
        <v/>
      </c>
    </row>
    <row r="20">
      <c r="A20" s="8" t="inlineStr">
        <is>
          <t>Нишевые блогеры и предприниматели с детьми</t>
        </is>
      </c>
      <c r="B20" s="8">
        <f>COUNTIF(Контакты!$E$2:$E$60,A20)</f>
        <v/>
      </c>
      <c r="C20" s="8">
        <f>COUNTIFS(Контакты!$E$2:$E$60,A20,Контакты!$J$2:$J$60,"Контакт состоялся")+COUNTIFS(Контакты!$E$2:$E$60,A20,Контакты!$J$2:$J$60,"Есть интерес")+COUNTIFS(Контакты!$E$2:$E$60,A20,Контакты!$J$2:$J$60,"Условия отправлены")+COUNTIFS(Контакты!$E$2:$E$60,A20,Контакты!$J$2:$J$60,"Подключён (оферта принята)")+COUNTIFS(Контакты!$E$2:$E$60,A20,Контакты!$J$2:$J$60,"Активирован (первое обращение)")+COUNTIFS(Контакты!$E$2:$E$60,A20,Контакты!$J$2:$J$60,"Продающий (первая оплата)")</f>
        <v/>
      </c>
      <c r="D20" s="8">
        <f>COUNTIFS(Контакты!$E$2:$E$60,A20,Контакты!$J$2:$J$60,"Подключён (оферта принята)")+COUNTIFS(Контакты!$E$2:$E$60,A20,Контакты!$J$2:$J$60,"Активирован (первое обращение)")+COUNTIFS(Контакты!$E$2:$E$60,A20,Контакты!$J$2:$J$60,"Продающий (первая оплата)")</f>
        <v/>
      </c>
    </row>
    <row r="21">
      <c r="A21" s="8" t="inlineStr">
        <is>
          <t>Знакомые основателя</t>
        </is>
      </c>
      <c r="B21" s="8">
        <f>COUNTIF(Контакты!$E$2:$E$60,A21)</f>
        <v/>
      </c>
      <c r="C21" s="8">
        <f>COUNTIFS(Контакты!$E$2:$E$60,A21,Контакты!$J$2:$J$60,"Контакт состоялся")+COUNTIFS(Контакты!$E$2:$E$60,A21,Контакты!$J$2:$J$60,"Есть интерес")+COUNTIFS(Контакты!$E$2:$E$60,A21,Контакты!$J$2:$J$60,"Условия отправлены")+COUNTIFS(Контакты!$E$2:$E$60,A21,Контакты!$J$2:$J$60,"Подключён (оферта принята)")+COUNTIFS(Контакты!$E$2:$E$60,A21,Контакты!$J$2:$J$60,"Активирован (первое обращение)")+COUNTIFS(Контакты!$E$2:$E$60,A21,Контакты!$J$2:$J$60,"Продающий (первая оплата)")</f>
        <v/>
      </c>
      <c r="D21" s="8">
        <f>COUNTIFS(Контакты!$E$2:$E$60,A21,Контакты!$J$2:$J$60,"Подключён (оферта принята)")+COUNTIFS(Контакты!$E$2:$E$60,A21,Контакты!$J$2:$J$60,"Активирован (первое обращение)")+COUNTIFS(Контакты!$E$2:$E$60,A21,Контакты!$J$2:$J$60,"Продающий (первая оплата)")</f>
        <v/>
      </c>
    </row>
    <row r="22">
      <c r="A22" s="8" t="inlineStr">
        <is>
          <t>Довольные родители</t>
        </is>
      </c>
      <c r="B22" s="8">
        <f>COUNTIF(Контакты!$E$2:$E$60,A22)</f>
        <v/>
      </c>
      <c r="C22" s="8">
        <f>COUNTIFS(Контакты!$E$2:$E$60,A22,Контакты!$J$2:$J$60,"Контакт состоялся")+COUNTIFS(Контакты!$E$2:$E$60,A22,Контакты!$J$2:$J$60,"Есть интерес")+COUNTIFS(Контакты!$E$2:$E$60,A22,Контакты!$J$2:$J$60,"Условия отправлены")+COUNTIFS(Контакты!$E$2:$E$60,A22,Контакты!$J$2:$J$60,"Подключён (оферта принята)")+COUNTIFS(Контакты!$E$2:$E$60,A22,Контакты!$J$2:$J$60,"Активирован (первое обращение)")+COUNTIFS(Контакты!$E$2:$E$60,A22,Контакты!$J$2:$J$60,"Продающий (первая оплата)")</f>
        <v/>
      </c>
      <c r="D22" s="8">
        <f>COUNTIFS(Контакты!$E$2:$E$60,A22,Контакты!$J$2:$J$60,"Подключён (оферта принята)")+COUNTIFS(Контакты!$E$2:$E$60,A22,Контакты!$J$2:$J$60,"Активирован (первое обращение)")+COUNTIFS(Контакты!$E$2:$E$60,A22,Контакты!$J$2:$J$60,"Продающий (первая оплата)")</f>
        <v/>
      </c>
    </row>
    <row r="23">
      <c r="A23" s="8" t="inlineStr">
        <is>
          <t>Психологи (осторожно, другое предложение)</t>
        </is>
      </c>
      <c r="B23" s="8">
        <f>COUNTIF(Контакты!$E$2:$E$60,A23)</f>
        <v/>
      </c>
      <c r="C23" s="8">
        <f>COUNTIFS(Контакты!$E$2:$E$60,A23,Контакты!$J$2:$J$60,"Контакт состоялся")+COUNTIFS(Контакты!$E$2:$E$60,A23,Контакты!$J$2:$J$60,"Есть интерес")+COUNTIFS(Контакты!$E$2:$E$60,A23,Контакты!$J$2:$J$60,"Условия отправлены")+COUNTIFS(Контакты!$E$2:$E$60,A23,Контакты!$J$2:$J$60,"Подключён (оферта принята)")+COUNTIFS(Контакты!$E$2:$E$60,A23,Контакты!$J$2:$J$60,"Активирован (первое обращение)")+COUNTIFS(Контакты!$E$2:$E$60,A23,Контакты!$J$2:$J$60,"Продающий (первая оплата)")</f>
        <v/>
      </c>
      <c r="D23" s="8">
        <f>COUNTIFS(Контакты!$E$2:$E$60,A23,Контакты!$J$2:$J$60,"Подключён (оферта принята)")+COUNTIFS(Контакты!$E$2:$E$60,A23,Контакты!$J$2:$J$60,"Активирован (первое обращение)")+COUNTIFS(Контакты!$E$2:$E$60,A23,Контакты!$J$2:$J$60,"Продающий (первая оплата)")</f>
        <v/>
      </c>
    </row>
    <row r="24">
      <c r="A24" s="8" t="inlineStr">
        <is>
          <t>Учебные центры и сообщества (после пилота)</t>
        </is>
      </c>
      <c r="B24" s="8">
        <f>COUNTIF(Контакты!$E$2:$E$60,A24)</f>
        <v/>
      </c>
      <c r="C24" s="8">
        <f>COUNTIFS(Контакты!$E$2:$E$60,A24,Контакты!$J$2:$J$60,"Контакт состоялся")+COUNTIFS(Контакты!$E$2:$E$60,A24,Контакты!$J$2:$J$60,"Есть интерес")+COUNTIFS(Контакты!$E$2:$E$60,A24,Контакты!$J$2:$J$60,"Условия отправлены")+COUNTIFS(Контакты!$E$2:$E$60,A24,Контакты!$J$2:$J$60,"Подключён (оферта принята)")+COUNTIFS(Контакты!$E$2:$E$60,A24,Контакты!$J$2:$J$60,"Активирован (первое обращение)")+COUNTIFS(Контакты!$E$2:$E$60,A24,Контакты!$J$2:$J$60,"Продающий (первая оплата)")</f>
        <v/>
      </c>
      <c r="D24" s="8">
        <f>COUNTIFS(Контакты!$E$2:$E$60,A24,Контакты!$J$2:$J$60,"Подключён (оферта принята)")+COUNTIFS(Контакты!$E$2:$E$60,A24,Контакты!$J$2:$J$60,"Активирован (первое обращение)")+COUNTIFS(Контакты!$E$2:$E$60,A24,Контакты!$J$2:$J$60,"Продающий (первая оплата)")</f>
        <v/>
      </c>
    </row>
    <row r="25">
      <c r="A25" s="8" t="inlineStr">
        <is>
          <t>Эксперты платформы</t>
        </is>
      </c>
      <c r="B25" s="8">
        <f>COUNTIF(Контакты!$E$2:$E$60,A25)</f>
        <v/>
      </c>
      <c r="C25" s="8">
        <f>COUNTIFS(Контакты!$E$2:$E$60,A25,Контакты!$J$2:$J$60,"Контакт состоялся")+COUNTIFS(Контакты!$E$2:$E$60,A25,Контакты!$J$2:$J$60,"Есть интерес")+COUNTIFS(Контакты!$E$2:$E$60,A25,Контакты!$J$2:$J$60,"Условия отправлены")+COUNTIFS(Контакты!$E$2:$E$60,A25,Контакты!$J$2:$J$60,"Подключён (оферта принята)")+COUNTIFS(Контакты!$E$2:$E$60,A25,Контакты!$J$2:$J$60,"Активирован (первое обращение)")+COUNTIFS(Контакты!$E$2:$E$60,A25,Контакты!$J$2:$J$60,"Продающий (первая оплата)")</f>
        <v/>
      </c>
      <c r="D25" s="8">
        <f>COUNTIFS(Контакты!$E$2:$E$60,A25,Контакты!$J$2:$J$60,"Подключён (оферта принята)")+COUNTIFS(Контакты!$E$2:$E$60,A25,Контакты!$J$2:$J$60,"Активирован (первое обращение)")+COUNTIFS(Контакты!$E$2:$E$60,A25,Контакты!$J$2:$J$60,"Продающий (первая оплата)")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2" customWidth="1" min="2" max="2"/>
    <col width="27" customWidth="1" min="3" max="3"/>
    <col width="33" customWidth="1" min="4" max="4"/>
    <col width="18" customWidth="1" min="5" max="5"/>
    <col width="23" customWidth="1" min="6" max="6"/>
    <col width="26" customWidth="1" min="7" max="7"/>
    <col width="21" customWidth="1" min="8" max="8"/>
  </cols>
  <sheetData>
    <row r="1">
      <c r="A1" s="13" t="inlineStr">
        <is>
          <t>Справочники для выпадающих списков листа «Контакты». Менять только здесь.</t>
        </is>
      </c>
    </row>
    <row r="3">
      <c r="A3" s="12" t="inlineStr">
        <is>
          <t>Когорта</t>
        </is>
      </c>
      <c r="B3" s="12" t="inlineStr">
        <is>
          <t>Стадия</t>
        </is>
      </c>
      <c r="C3" s="12" t="inlineStr">
        <is>
          <t>Реакция на цену</t>
        </is>
      </c>
      <c r="D3" s="12" t="inlineStr">
        <is>
          <t>Возражение</t>
        </is>
      </c>
      <c r="E3" s="12" t="inlineStr">
        <is>
          <t>Да/нет</t>
        </is>
      </c>
      <c r="F3" s="12" t="inlineStr">
        <is>
          <t>Продукт пройден</t>
        </is>
      </c>
      <c r="G3" s="12" t="inlineStr">
        <is>
          <t>Материалы</t>
        </is>
      </c>
      <c r="H3" s="12" t="inlineStr">
        <is>
          <t>Ответственный</t>
        </is>
      </c>
    </row>
    <row r="4">
      <c r="A4" s="8" t="inlineStr">
        <is>
          <t>Активные преподаватели</t>
        </is>
      </c>
      <c r="B4" s="8" t="inlineStr">
        <is>
          <t>Потенциальный</t>
        </is>
      </c>
      <c r="C4" s="8" t="inlineStr">
        <is>
          <t>Не обсуждали</t>
        </is>
      </c>
      <c r="D4" s="8" t="inlineStr">
        <is>
          <t>Нет</t>
        </is>
      </c>
      <c r="E4" s="8" t="inlineStr">
        <is>
          <t>Да</t>
        </is>
      </c>
      <c r="F4" s="8" t="inlineStr">
        <is>
          <t>Нет</t>
        </is>
      </c>
      <c r="G4" s="8" t="inlineStr">
        <is>
          <t>К01 страница о продукте</t>
        </is>
      </c>
      <c r="H4" s="8" t="inlineStr">
        <is>
          <t>Маркетинг (Игорь)</t>
        </is>
      </c>
    </row>
    <row r="5">
      <c r="A5" s="8" t="inlineStr">
        <is>
          <t>Нишевые блогеры и предприниматели с детьми</t>
        </is>
      </c>
      <c r="B5" s="8" t="inlineStr">
        <is>
          <t>Контакт состоялся</t>
        </is>
      </c>
      <c r="C5" s="8" t="inlineStr">
        <is>
          <t>Дорого для его семей</t>
        </is>
      </c>
      <c r="D5" s="8" t="inlineStr">
        <is>
          <t>Дорого</t>
        </is>
      </c>
      <c r="E5" s="8" t="inlineStr">
        <is>
          <t>Нет</t>
        </is>
      </c>
      <c r="F5" s="8" t="inlineStr">
        <is>
          <t>Да, купил</t>
        </is>
      </c>
      <c r="G5" s="8" t="inlineStr">
        <is>
          <t>К02 образец результата</t>
        </is>
      </c>
      <c r="H5" s="8" t="inlineStr">
        <is>
          <t>Основатель (Макс)</t>
        </is>
      </c>
    </row>
    <row r="6">
      <c r="A6" s="8" t="inlineStr">
        <is>
          <t>Знакомые основателя</t>
        </is>
      </c>
      <c r="B6" s="8" t="inlineStr">
        <is>
          <t>Есть интерес</t>
        </is>
      </c>
      <c r="C6" s="8" t="inlineStr">
        <is>
          <t>Нормально</t>
        </is>
      </c>
      <c r="D6" s="8" t="inlineStr">
        <is>
          <t>Дешевле у другого</t>
        </is>
      </c>
      <c r="E6" s="8" t="inlineStr">
        <is>
          <t>Не знаем</t>
        </is>
      </c>
      <c r="F6" s="8" t="inlineStr">
        <is>
          <t>Да, бесплатная выдача</t>
        </is>
      </c>
      <c r="G6" s="8" t="inlineStr">
        <is>
          <t>К03 условия</t>
        </is>
      </c>
      <c r="H6" s="8" t="inlineStr">
        <is>
          <t>Продажи (Александр)</t>
        </is>
      </c>
    </row>
    <row r="7">
      <c r="A7" s="8" t="inlineStr">
        <is>
          <t>Довольные родители</t>
        </is>
      </c>
      <c r="B7" s="8" t="inlineStr">
        <is>
          <t>Условия отправлены</t>
        </is>
      </c>
      <c r="C7" s="8" t="inlineStr">
        <is>
          <t>Хочет продавать дороже</t>
        </is>
      </c>
      <c r="D7" s="8" t="inlineStr">
        <is>
          <t>Надо ещё платить</t>
        </is>
      </c>
      <c r="F7" s="8" t="inlineStr">
        <is>
          <t>Не знаем</t>
        </is>
      </c>
      <c r="G7" s="8" t="inlineStr">
        <is>
          <t>К04 экономика примерами</t>
        </is>
      </c>
      <c r="H7" s="8" t="inlineStr">
        <is>
          <t>Продукт (Вадим)</t>
        </is>
      </c>
    </row>
    <row r="8">
      <c r="A8" s="8" t="inlineStr">
        <is>
          <t>Психологи (осторожно, другое предложение)</t>
        </is>
      </c>
      <c r="B8" s="8" t="inlineStr">
        <is>
          <t>Подключён (оферта принята)</t>
        </is>
      </c>
      <c r="C8" s="8" t="inlineStr">
        <is>
          <t>Мало для партнёра (5 000)</t>
        </is>
      </c>
      <c r="D8" s="8" t="inlineStr">
        <is>
          <t>Стыдно брать деньги со знакомых</t>
        </is>
      </c>
      <c r="G8" s="8" t="inlineStr">
        <is>
          <t>К05 быстрый старт</t>
        </is>
      </c>
      <c r="H8" s="8" t="inlineStr">
        <is>
          <t>Платежи (Даниил)</t>
        </is>
      </c>
    </row>
    <row r="9">
      <c r="A9" s="8" t="inlineStr">
        <is>
          <t>Учебные центры и сообщества (после пилота)</t>
        </is>
      </c>
      <c r="B9" s="8" t="inlineStr">
        <is>
          <t>Активирован (первое обращение)</t>
        </is>
      </c>
      <c r="D9" s="8" t="inlineStr">
        <is>
          <t>Продешевлю аудиторию</t>
        </is>
      </c>
      <c r="G9" s="8" t="inlineStr">
        <is>
          <t>К06 сообщения семье</t>
        </is>
      </c>
    </row>
    <row r="10">
      <c r="A10" s="8" t="inlineStr">
        <is>
          <t>Эксперты платформы</t>
        </is>
      </c>
      <c r="B10" s="8" t="inlineStr">
        <is>
          <t>Продающий (первая оплата)</t>
        </is>
      </c>
      <c r="D10" s="8" t="inlineStr">
        <is>
          <t>Не понимаю продукт</t>
        </is>
      </c>
      <c r="G10" s="8" t="inlineStr">
        <is>
          <t>К07 сценарии публикации</t>
        </is>
      </c>
    </row>
    <row r="11">
      <c r="B11" s="8" t="inlineStr">
        <is>
          <t>Отказ</t>
        </is>
      </c>
      <c r="D11" s="8" t="inlineStr">
        <is>
          <t>Нет времени</t>
        </is>
      </c>
      <c r="G11" s="8" t="inlineStr">
        <is>
          <t>К08 страница семьи</t>
        </is>
      </c>
    </row>
    <row r="12">
      <c r="B12" s="8" t="inlineStr">
        <is>
          <t>Отложен</t>
        </is>
      </c>
      <c r="D12" s="8" t="inlineStr">
        <is>
          <t>Другое</t>
        </is>
      </c>
      <c r="G12" s="8" t="inlineStr">
        <is>
          <t>К09 ответы на возражения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2026-09-11T07:10:39Z</dcterms:created>
  <dcterms:modified xsi:type="dcterms:W3CDTF">2026-09-11T07:10:39Z</dcterms:modified>
</cp:coreProperties>
</file>