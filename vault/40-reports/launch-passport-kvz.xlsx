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План работ" sheetId="2" state="visible" r:id="rId2"/>
    <sheet name="Спринт-доска" sheetId="3" state="visible" r:id="rId3"/>
    <sheet name="Гант" sheetId="4" state="visible" r:id="rId4"/>
    <sheet name="Бриф" sheetId="5" state="visible" r:id="rId5"/>
    <sheet name="Чек-лист" sheetId="6" state="visible" r:id="rId6"/>
    <sheet name="Риски" sheetId="7" state="visible" r:id="rId7"/>
    <sheet name="Измерен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"/>
  </numFmts>
  <fonts count="11">
    <font>
      <name val="Calibri"/>
      <family val="2"/>
      <color theme="1"/>
      <sz val="11"/>
      <scheme val="minor"/>
    </font>
    <font>
      <b val="1"/>
      <color rgb="FF18202E"/>
      <sz val="12"/>
    </font>
    <font>
      <b val="1"/>
      <color rgb="FF9A6700"/>
      <sz val="10"/>
    </font>
    <font>
      <b val="1"/>
      <color rgb="FF5A6678"/>
      <sz val="10"/>
    </font>
    <font>
      <color rgb="FF18202E"/>
      <sz val="10"/>
    </font>
    <font>
      <color rgb="FF8A93A2"/>
      <sz val="9"/>
    </font>
    <font>
      <b val="1"/>
      <sz val="11"/>
    </font>
    <font>
      <color rgb="FF5A6678"/>
      <sz val="8"/>
    </font>
    <font>
      <color rgb="FF18202E"/>
      <sz val="9"/>
    </font>
    <font>
      <b val="1"/>
      <color rgb="FF18202E"/>
      <sz val="10"/>
    </font>
    <font>
      <b val="1"/>
      <color rgb="FFB23A36"/>
      <sz val="12"/>
    </font>
  </fonts>
  <fills count="5">
    <fill>
      <patternFill/>
    </fill>
    <fill>
      <patternFill patternType="gray125"/>
    </fill>
    <fill>
      <patternFill patternType="solid">
        <fgColor rgb="FFFBF3DD"/>
      </patternFill>
    </fill>
    <fill>
      <patternFill patternType="solid">
        <fgColor rgb="FFF6F8FB"/>
      </patternFill>
    </fill>
    <fill>
      <patternFill patternType="solid">
        <fgColor rgb="FFE7EEFA"/>
      </patternFill>
    </fill>
  </fills>
  <borders count="2">
    <border>
      <left/>
      <right/>
      <top/>
      <bottom/>
      <diagonal/>
    </border>
    <border>
      <left style="thin">
        <color rgb="FFDCE1E8"/>
      </left>
      <right style="thin">
        <color rgb="FFDCE1E8"/>
      </right>
      <top style="thin">
        <color rgb="FFDCE1E8"/>
      </top>
      <bottom style="thin">
        <color rgb="FFDCE1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4" fontId="7" fillId="0" borderId="0" applyAlignment="1" pivotButton="0" quotePrefix="0" xfId="0">
      <alignment textRotation="90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4" fillId="0" borderId="1" applyAlignment="1" pivotButton="0" quotePrefix="0" xfId="0">
      <alignment wrapText="1"/>
    </xf>
    <xf numFmtId="0" fontId="8" fillId="3" borderId="1" pivotButton="0" quotePrefix="0" xfId="0"/>
    <xf numFmtId="0" fontId="4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FFE8F5EE"/>
        </patternFill>
      </fill>
    </dxf>
    <dxf>
      <fill>
        <patternFill patternType="solid">
          <fgColor rgb="FFE7EEFA"/>
        </patternFill>
      </fill>
    </dxf>
    <dxf>
      <fill>
        <patternFill patternType="solid">
          <fgColor rgb="FFFBF3DD"/>
        </patternFill>
      </fill>
    </dxf>
    <dxf>
      <fill>
        <patternFill patternType="solid">
          <fgColor rgb="FF3B6FD0"/>
        </patternFill>
      </fill>
    </dxf>
    <dxf>
      <fill>
        <patternFill patternType="solid">
          <fgColor rgb="FFFBEB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0" customWidth="1" min="3" max="3"/>
  </cols>
  <sheetData>
    <row r="1">
      <c r="A1" s="1" t="inlineStr">
        <is>
          <t>ПАСПОРТ ЗАПУСКА РЕКЛАМНОЙ КАМПАНИИ — MainExperts · Поток 2 · квиз-посадочная</t>
        </is>
      </c>
    </row>
    <row r="2" ht="30" customHeight="1">
      <c r="A2" s="2" t="inlineStr">
        <is>
          <t>НЕВАЛИДИРОВАННАЯ ГИПОТЕЗА: «скрининг оцифровывает страхи родителя → родитель покупает диагностику». Кампания и есть её проверка — так трактовать результаты.</t>
        </is>
      </c>
    </row>
    <row r="4">
      <c r="A4" s="3" t="inlineStr">
        <is>
          <t>Название кампании</t>
        </is>
      </c>
      <c r="B4" s="4" t="inlineStr"/>
      <c r="C4" s="5" t="inlineStr">
        <is>
          <t>например: KVZ-2026-01</t>
        </is>
      </c>
    </row>
    <row r="5">
      <c r="A5" s="3" t="inlineStr">
        <is>
          <t>Цель</t>
        </is>
      </c>
      <c r="B5" s="4" t="inlineStr">
        <is>
          <t>Проверка гипотезы скрининга платным трафиком до целевых ДРР/CPL</t>
        </is>
      </c>
      <c r="C5" s="5" t="inlineStr"/>
    </row>
    <row r="6">
      <c r="A6" s="3" t="inlineStr">
        <is>
          <t>Ячейка 1 (канал × рынок)</t>
        </is>
      </c>
      <c r="B6" s="4" t="inlineStr">
        <is>
          <t>VK → квиз · рынок СНГ</t>
        </is>
      </c>
      <c r="C6" s="5" t="inlineStr"/>
    </row>
    <row r="7">
      <c r="A7" s="3" t="inlineStr">
        <is>
          <t>Ячейка 2 (канал × рынок)</t>
        </is>
      </c>
      <c r="B7" s="4" t="inlineStr">
        <is>
          <t>Meta → квиз · рынок MENA</t>
        </is>
      </c>
      <c r="C7" s="5" t="inlineStr"/>
    </row>
    <row r="8">
      <c r="A8" s="3" t="inlineStr">
        <is>
          <t>Оффер</t>
        </is>
      </c>
      <c r="B8" s="4" t="inlineStr">
        <is>
          <t>Продаём профориентацию; скрининг — бесплатная проба</t>
        </is>
      </c>
      <c r="C8" s="5" t="inlineStr"/>
    </row>
    <row r="9">
      <c r="A9" s="3" t="inlineStr">
        <is>
          <t>Шаг после квиза (развилка флоу)</t>
        </is>
      </c>
      <c r="B9" s="4" t="inlineStr">
        <is>
          <t>[заполнить]</t>
        </is>
      </c>
      <c r="C9" s="5" t="inlineStr">
        <is>
          <t>кандидат: оплата после скрининга (флоу 18.06); решение, не данность</t>
        </is>
      </c>
    </row>
    <row r="10">
      <c r="A10" s="3" t="inlineStr">
        <is>
          <t>Дата решения по флоу</t>
        </is>
      </c>
      <c r="B10" s="4" t="inlineStr"/>
      <c r="C10" s="5" t="inlineStr">
        <is>
          <t>обязательное поле</t>
        </is>
      </c>
    </row>
    <row r="11">
      <c r="A11" s="3" t="inlineStr">
        <is>
          <t>Кто принял решение (роль)</t>
        </is>
      </c>
      <c r="B11" s="4" t="inlineStr"/>
      <c r="C11" s="5" t="inlineStr">
        <is>
          <t>владелец кампании</t>
        </is>
      </c>
    </row>
    <row r="12">
      <c r="A12" s="3" t="inlineStr">
        <is>
          <t>Бюджет ячейки 1, $</t>
        </is>
      </c>
      <c r="B12" s="4" t="inlineStr"/>
      <c r="C12" s="5" t="inlineStr">
        <is>
          <t>минимум 400 $ — внутренний норматив</t>
        </is>
      </c>
    </row>
    <row r="13">
      <c r="A13" s="3" t="inlineStr">
        <is>
          <t>Бюджет ячейки 2, $</t>
        </is>
      </c>
      <c r="B13" s="4" t="inlineStr"/>
      <c r="C13" s="5" t="inlineStr">
        <is>
          <t>минимум 400 $ — внутренний норматив</t>
        </is>
      </c>
    </row>
    <row r="14">
      <c r="A14" s="3" t="inlineStr">
        <is>
          <t>Период</t>
        </is>
      </c>
      <c r="B14" s="4" t="inlineStr">
        <is>
          <t>[заполнить]</t>
        </is>
      </c>
      <c r="C14" s="5" t="inlineStr"/>
    </row>
    <row r="15">
      <c r="A15" s="3" t="inlineStr">
        <is>
          <t>KPI: ДРР-цель, %</t>
        </is>
      </c>
      <c r="B15" s="4" t="inlineStr"/>
      <c r="C15" s="5" t="inlineStr">
        <is>
          <t>ключевой KPI (канон)</t>
        </is>
      </c>
    </row>
    <row r="16">
      <c r="A16" s="3" t="inlineStr">
        <is>
          <t>KPI: CPL-потолок, $</t>
        </is>
      </c>
      <c r="B16" s="4" t="inlineStr"/>
      <c r="C16" s="5" t="inlineStr">
        <is>
          <t>прокси</t>
        </is>
      </c>
    </row>
    <row r="17">
      <c r="A17" s="3" t="inlineStr">
        <is>
          <t>KPI: конверсия квиза, %</t>
        </is>
      </c>
      <c r="B17" s="4" t="inlineStr"/>
      <c r="C17" s="5" t="inlineStr">
        <is>
          <t>завершение ÷ старт</t>
        </is>
      </c>
    </row>
    <row r="18">
      <c r="A18" s="3" t="inlineStr">
        <is>
          <t>Статус</t>
        </is>
      </c>
      <c r="B18" s="4" t="inlineStr">
        <is>
          <t>черновик</t>
        </is>
      </c>
      <c r="C18" s="5" t="inlineStr">
        <is>
          <t>черновик / к запуску / тест / масштабирование / завершена</t>
        </is>
      </c>
    </row>
    <row r="19">
      <c r="A19" s="3" t="inlineStr">
        <is>
          <t>Аудитория закупки</t>
        </is>
      </c>
      <c r="B19" s="4" t="inlineStr">
        <is>
          <t>родители 38–50 (персонажи кастдева)</t>
        </is>
      </c>
      <c r="C19" s="5" t="inlineStr">
        <is>
          <t>развилка «родитель или подросток» не закрыта — закупка на родителя</t>
        </is>
      </c>
    </row>
    <row r="20">
      <c r="A20" s="3" t="inlineStr">
        <is>
          <t>Направления (роли, без имён)</t>
        </is>
      </c>
      <c r="B20" s="4" t="inlineStr">
        <is>
          <t>таргет · посадочная · аналитика · платежи · методология · юридическое · владелец кампании</t>
        </is>
      </c>
      <c r="C20" s="5" t="inlineStr"/>
    </row>
    <row r="22" ht="42" customHeight="1">
      <c r="A22" s="6" t="inlineStr">
        <is>
          <t>Принадлежность: Поток 2 (платформа). Из трёх целей раннего привлечения — проверка гипотезы скрининга. Метрики потоков не объединяются. Названия методик в клиентских текстах запрещены (только рабочие переименования).</t>
        </is>
      </c>
    </row>
  </sheetData>
  <mergeCells count="2">
    <mergeCell ref="A2:C2"/>
    <mergeCell ref="A22:C22"/>
  </mergeCells>
  <dataValidations count="2">
    <dataValidation sqref="B9" showDropDown="0" showInputMessage="0" showErrorMessage="0" allowBlank="1" type="list">
      <formula1>"[заполнить],оплата после скрининга (флоу 18.06),оплата до скрининга"</formula1>
    </dataValidation>
    <dataValidation sqref="B18" showDropDown="0" showInputMessage="0" showErrorMessage="0" allowBlank="0" type="list">
      <formula1>"черновик,к запуску,тест,масштабирование,завершена"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8" customWidth="1" min="3" max="3"/>
    <col width="30" customWidth="1" min="4" max="4"/>
    <col width="16" customWidth="1" min="5" max="5"/>
    <col width="11" customWidth="1" min="6" max="6"/>
    <col width="11" customWidth="1" min="7" max="7"/>
    <col width="12" customWidth="1" min="8" max="8"/>
    <col width="12" customWidth="1" min="9" max="9"/>
  </cols>
  <sheetData>
    <row r="1">
      <c r="A1" s="7" t="inlineStr">
        <is>
          <t>#</t>
        </is>
      </c>
      <c r="B1" s="7" t="inlineStr">
        <is>
          <t>Этап</t>
        </is>
      </c>
      <c r="C1" s="7" t="inlineStr">
        <is>
          <t>Задача</t>
        </is>
      </c>
      <c r="D1" s="7" t="inlineStr">
        <is>
          <t>Артефакт на выходе</t>
        </is>
      </c>
      <c r="E1" s="7" t="inlineStr">
        <is>
          <t>Направление</t>
        </is>
      </c>
      <c r="F1" s="7" t="inlineStr">
        <is>
          <t>Начало</t>
        </is>
      </c>
      <c r="G1" s="7" t="inlineStr">
        <is>
          <t>Срок</t>
        </is>
      </c>
      <c r="H1" s="7" t="inlineStr">
        <is>
          <t>Зависит от #</t>
        </is>
      </c>
      <c r="I1" s="7" t="inlineStr">
        <is>
          <t>Статус</t>
        </is>
      </c>
    </row>
    <row r="2">
      <c r="A2" s="4" t="n">
        <v>1</v>
      </c>
      <c r="B2" s="4" t="inlineStr">
        <is>
          <t>0 · Доступы и кабинеты</t>
        </is>
      </c>
      <c r="C2" s="4" t="inlineStr">
        <is>
          <t>Рекламные кабинеты VK и Meta: создать/проверить, биллинг</t>
        </is>
      </c>
      <c r="D2" s="4" t="inlineStr">
        <is>
          <t>доступы к кабинетам</t>
        </is>
      </c>
      <c r="E2" s="4" t="inlineStr">
        <is>
          <t>таргет</t>
        </is>
      </c>
      <c r="F2" s="4" t="inlineStr"/>
      <c r="G2" s="4" t="inlineStr"/>
      <c r="H2" s="4" t="inlineStr"/>
      <c r="I2" s="4" t="inlineStr">
        <is>
          <t>Очередь</t>
        </is>
      </c>
    </row>
    <row r="3">
      <c r="A3" s="4" t="n">
        <v>2</v>
      </c>
      <c r="B3" s="4" t="inlineStr">
        <is>
          <t>0 · Доступы и кабинеты</t>
        </is>
      </c>
      <c r="C3" s="4" t="inlineStr">
        <is>
          <t>Доступы: Метрика, GA, Data Studio</t>
        </is>
      </c>
      <c r="D3" s="4" t="inlineStr">
        <is>
          <t>доступы аналитики</t>
        </is>
      </c>
      <c r="E3" s="4" t="inlineStr">
        <is>
          <t>аналитика</t>
        </is>
      </c>
      <c r="F3" s="4" t="inlineStr"/>
      <c r="G3" s="4" t="inlineStr"/>
      <c r="H3" s="4" t="inlineStr"/>
      <c r="I3" s="4" t="inlineStr">
        <is>
          <t>Очередь</t>
        </is>
      </c>
    </row>
    <row r="4">
      <c r="A4" s="4" t="n">
        <v>3</v>
      </c>
      <c r="B4" s="4" t="inlineStr">
        <is>
          <t>1 · Посадочная-квиз</t>
        </is>
      </c>
      <c r="C4" s="4" t="inlineStr">
        <is>
          <t>Логика вопросов квиза (~18 вопросов, 6 шкал; e-mail до результата — флоу 18.06)</t>
        </is>
      </c>
      <c r="D4" s="4" t="inlineStr">
        <is>
          <t>сценарий квиза</t>
        </is>
      </c>
      <c r="E4" s="4" t="inlineStr">
        <is>
          <t>методология</t>
        </is>
      </c>
      <c r="F4" s="4" t="inlineStr"/>
      <c r="G4" s="4" t="inlineStr"/>
      <c r="H4" s="4" t="inlineStr"/>
      <c r="I4" s="4" t="inlineStr">
        <is>
          <t>Очередь</t>
        </is>
      </c>
    </row>
    <row r="5">
      <c r="A5" s="4" t="n">
        <v>4</v>
      </c>
      <c r="B5" s="4" t="inlineStr">
        <is>
          <t>1 · Посадочная-квиз</t>
        </is>
      </c>
      <c r="C5" s="4" t="inlineStr">
        <is>
          <t>Экраны: истории + карусель, 5 слоганов-вариаций</t>
        </is>
      </c>
      <c r="D5" s="4" t="inlineStr">
        <is>
          <t>макеты экранов</t>
        </is>
      </c>
      <c r="E5" s="4" t="inlineStr">
        <is>
          <t>посадочная</t>
        </is>
      </c>
      <c r="F5" s="4" t="inlineStr"/>
      <c r="G5" s="4" t="inlineStr"/>
      <c r="H5" s="4" t="inlineStr">
        <is>
          <t>3</t>
        </is>
      </c>
      <c r="I5" s="4" t="inlineStr">
        <is>
          <t>Очередь</t>
        </is>
      </c>
    </row>
    <row r="6">
      <c r="A6" s="4" t="n">
        <v>5</v>
      </c>
      <c r="B6" s="4" t="inlineStr">
        <is>
          <t>1 · Посадочная-квиз</t>
        </is>
      </c>
      <c r="C6" s="4" t="inlineStr">
        <is>
          <t>Мобильная версия и скорость загрузки</t>
        </is>
      </c>
      <c r="D6" s="4" t="inlineStr">
        <is>
          <t>посадочная прошла проверку с телефона</t>
        </is>
      </c>
      <c r="E6" s="4" t="inlineStr">
        <is>
          <t>посадочная</t>
        </is>
      </c>
      <c r="F6" s="4" t="inlineStr"/>
      <c r="G6" s="4" t="inlineStr"/>
      <c r="H6" s="4" t="inlineStr">
        <is>
          <t>4</t>
        </is>
      </c>
      <c r="I6" s="4" t="inlineStr">
        <is>
          <t>Очередь</t>
        </is>
      </c>
    </row>
    <row r="7">
      <c r="A7" s="4" t="n">
        <v>6</v>
      </c>
      <c r="B7" s="4" t="inlineStr">
        <is>
          <t>2 · Аналитика</t>
        </is>
      </c>
      <c r="C7" s="4" t="inlineStr">
        <is>
          <t>Пиксели VK/Meta и события по цепочке</t>
        </is>
      </c>
      <c r="D7" s="4" t="inlineStr">
        <is>
          <t>события летят</t>
        </is>
      </c>
      <c r="E7" s="4" t="inlineStr">
        <is>
          <t>аналитика</t>
        </is>
      </c>
      <c r="F7" s="4" t="inlineStr"/>
      <c r="G7" s="4" t="inlineStr"/>
      <c r="H7" s="4" t="inlineStr">
        <is>
          <t>1</t>
        </is>
      </c>
      <c r="I7" s="4" t="inlineStr">
        <is>
          <t>Очередь</t>
        </is>
      </c>
    </row>
    <row r="8">
      <c r="A8" s="4" t="n">
        <v>7</v>
      </c>
      <c r="B8" s="4" t="inlineStr">
        <is>
          <t>2 · Аналитика</t>
        </is>
      </c>
      <c r="C8" s="4" t="inlineStr">
        <is>
          <t>Карта UTM и шаблон ссылки</t>
        </is>
      </c>
      <c r="D8" s="4" t="inlineStr">
        <is>
          <t>карта UTM</t>
        </is>
      </c>
      <c r="E8" s="4" t="inlineStr">
        <is>
          <t>аналитика</t>
        </is>
      </c>
      <c r="F8" s="4" t="inlineStr"/>
      <c r="G8" s="4" t="inlineStr"/>
      <c r="H8" s="4" t="inlineStr"/>
      <c r="I8" s="4" t="inlineStr">
        <is>
          <t>Очередь</t>
        </is>
      </c>
    </row>
    <row r="9">
      <c r="A9" s="4" t="n">
        <v>8</v>
      </c>
      <c r="B9" s="4" t="inlineStr">
        <is>
          <t>2 · Аналитика</t>
        </is>
      </c>
      <c r="C9" s="4" t="inlineStr">
        <is>
          <t>Сквозная связка до оплаты (ручное сведение с источником)</t>
        </is>
      </c>
      <c r="D9" s="4" t="inlineStr">
        <is>
          <t>регламент сведения</t>
        </is>
      </c>
      <c r="E9" s="4" t="inlineStr">
        <is>
          <t>аналитика</t>
        </is>
      </c>
      <c r="F9" s="4" t="inlineStr"/>
      <c r="G9" s="4" t="inlineStr"/>
      <c r="H9" s="4" t="inlineStr">
        <is>
          <t>6</t>
        </is>
      </c>
      <c r="I9" s="4" t="inlineStr">
        <is>
          <t>Очередь</t>
        </is>
      </c>
    </row>
    <row r="10">
      <c r="A10" s="4" t="n">
        <v>9</v>
      </c>
      <c r="B10" s="4" t="inlineStr">
        <is>
          <t>3 · Платёж и правовое</t>
        </is>
      </c>
      <c r="C10" s="4" t="inlineStr">
        <is>
          <t>Тестовая транзакция Robokassa (комиссия 10% — канон)</t>
        </is>
      </c>
      <c r="D10" s="4" t="inlineStr">
        <is>
          <t>чек тестовой оплаты</t>
        </is>
      </c>
      <c r="E10" s="4" t="inlineStr">
        <is>
          <t>платежи</t>
        </is>
      </c>
      <c r="F10" s="4" t="inlineStr"/>
      <c r="G10" s="4" t="inlineStr"/>
      <c r="H10" s="4" t="inlineStr"/>
      <c r="I10" s="4" t="inlineStr">
        <is>
          <t>Очередь</t>
        </is>
      </c>
    </row>
    <row r="11">
      <c r="A11" s="4" t="n">
        <v>10</v>
      </c>
      <c r="B11" s="4" t="inlineStr">
        <is>
          <t>3 · Платёж и правовое</t>
        </is>
      </c>
      <c r="C11" s="4" t="inlineStr">
        <is>
          <t>Оферта и согласия на посадочной</t>
        </is>
      </c>
      <c r="D11" s="4" t="inlineStr">
        <is>
          <t>тексты размещены</t>
        </is>
      </c>
      <c r="E11" s="4" t="inlineStr">
        <is>
          <t>юридическое</t>
        </is>
      </c>
      <c r="F11" s="4" t="inlineStr"/>
      <c r="G11" s="4" t="inlineStr"/>
      <c r="H11" s="4" t="inlineStr"/>
      <c r="I11" s="4" t="inlineStr">
        <is>
          <t>Очередь</t>
        </is>
      </c>
    </row>
    <row r="12">
      <c r="A12" s="4" t="n">
        <v>11</v>
      </c>
      <c r="B12" s="4" t="inlineStr">
        <is>
          <t>3 · Платёж и правовое</t>
        </is>
      </c>
      <c r="C12" s="4" t="inlineStr">
        <is>
          <t>Возрастная логика и согласие родителя (несовершеннолетние)</t>
        </is>
      </c>
      <c r="D12" s="4" t="inlineStr">
        <is>
          <t>механика согласия</t>
        </is>
      </c>
      <c r="E12" s="4" t="inlineStr">
        <is>
          <t>юридическое</t>
        </is>
      </c>
      <c r="F12" s="4" t="inlineStr"/>
      <c r="G12" s="4" t="inlineStr"/>
      <c r="H12" s="4" t="inlineStr">
        <is>
          <t>10</t>
        </is>
      </c>
      <c r="I12" s="4" t="inlineStr">
        <is>
          <t>Очередь</t>
        </is>
      </c>
    </row>
    <row r="13">
      <c r="A13" s="4" t="n">
        <v>12</v>
      </c>
      <c r="B13" s="4" t="inlineStr">
        <is>
          <t>4 · Креативы и аудитории</t>
        </is>
      </c>
      <c r="C13" s="4" t="inlineStr">
        <is>
          <t>Пять слоганов под A/B (заглушка: «Определи будущее твоего ребёнка»)</t>
        </is>
      </c>
      <c r="D13" s="4" t="inlineStr">
        <is>
          <t>список слоганов</t>
        </is>
      </c>
      <c r="E13" s="4" t="inlineStr">
        <is>
          <t>посадочная</t>
        </is>
      </c>
      <c r="F13" s="4" t="inlineStr"/>
      <c r="G13" s="4" t="inlineStr"/>
      <c r="H13" s="4" t="inlineStr"/>
      <c r="I13" s="4" t="inlineStr">
        <is>
          <t>Очередь</t>
        </is>
      </c>
    </row>
    <row r="14">
      <c r="A14" s="4" t="n">
        <v>13</v>
      </c>
      <c r="B14" s="4" t="inlineStr">
        <is>
          <t>4 · Креативы и аудитории</t>
        </is>
      </c>
      <c r="C14" s="4" t="inlineStr">
        <is>
          <t>Аудитории и исключения: родители 38–50, СНГ (VK) / MENA (Meta)</t>
        </is>
      </c>
      <c r="D14" s="4" t="inlineStr">
        <is>
          <t>карта аудиторий</t>
        </is>
      </c>
      <c r="E14" s="4" t="inlineStr">
        <is>
          <t>таргет</t>
        </is>
      </c>
      <c r="F14" s="4" t="inlineStr"/>
      <c r="G14" s="4" t="inlineStr"/>
      <c r="H14" s="4" t="inlineStr"/>
      <c r="I14" s="4" t="inlineStr">
        <is>
          <t>Очередь</t>
        </is>
      </c>
    </row>
    <row r="15">
      <c r="A15" s="4" t="n">
        <v>14</v>
      </c>
      <c r="B15" s="4" t="inlineStr">
        <is>
          <t>5 · Настройка и маркировка</t>
        </is>
      </c>
      <c r="C15" s="4" t="inlineStr">
        <is>
          <t>Сборка кампаний в кабинетах (ячейки VK×СНГ, Meta×MENA)</t>
        </is>
      </c>
      <c r="D15" s="4" t="inlineStr">
        <is>
          <t>кампании в черновиках</t>
        </is>
      </c>
      <c r="E15" s="4" t="inlineStr">
        <is>
          <t>таргет</t>
        </is>
      </c>
      <c r="F15" s="4" t="inlineStr"/>
      <c r="G15" s="4" t="inlineStr"/>
      <c r="H15" s="4" t="inlineStr">
        <is>
          <t>13</t>
        </is>
      </c>
      <c r="I15" s="4" t="inlineStr">
        <is>
          <t>Очередь</t>
        </is>
      </c>
    </row>
    <row r="16">
      <c r="A16" s="4" t="n">
        <v>15</v>
      </c>
      <c r="B16" s="4" t="inlineStr">
        <is>
          <t>5 · Настройка и маркировка</t>
        </is>
      </c>
      <c r="C16" s="4" t="inlineStr">
        <is>
          <t>Маркировка РФ: ОРД, erid</t>
        </is>
      </c>
      <c r="D16" s="4" t="inlineStr">
        <is>
          <t>erid получены</t>
        </is>
      </c>
      <c r="E16" s="4" t="inlineStr">
        <is>
          <t>юридическое</t>
        </is>
      </c>
      <c r="F16" s="4" t="inlineStr"/>
      <c r="G16" s="4" t="inlineStr"/>
      <c r="H16" s="4" t="inlineStr">
        <is>
          <t>14</t>
        </is>
      </c>
      <c r="I16" s="4" t="inlineStr">
        <is>
          <t>Очередь</t>
        </is>
      </c>
    </row>
    <row r="17">
      <c r="A17" s="4" t="n">
        <v>16</v>
      </c>
      <c r="B17" s="4" t="inlineStr">
        <is>
          <t>6 · Тестовый запуск</t>
        </is>
      </c>
      <c r="C17" s="4" t="inlineStr">
        <is>
          <t>Лимиты и стоп-правила теста согласованы</t>
        </is>
      </c>
      <c r="D17" s="4" t="inlineStr">
        <is>
          <t>стоп-правила в брифе</t>
        </is>
      </c>
      <c r="E17" s="4" t="inlineStr">
        <is>
          <t>владелец кампании</t>
        </is>
      </c>
      <c r="F17" s="4" t="inlineStr"/>
      <c r="G17" s="4" t="inlineStr"/>
      <c r="H17" s="4" t="inlineStr"/>
      <c r="I17" s="4" t="inlineStr">
        <is>
          <t>Очередь</t>
        </is>
      </c>
    </row>
    <row r="18">
      <c r="A18" s="4" t="n">
        <v>17</v>
      </c>
      <c r="B18" s="4" t="inlineStr">
        <is>
          <t>6 · Тестовый запуск</t>
        </is>
      </c>
      <c r="C18" s="4" t="inlineStr">
        <is>
          <t>Тестовый запуск ячеек</t>
        </is>
      </c>
      <c r="D18" s="4" t="inlineStr">
        <is>
          <t>кампании активны</t>
        </is>
      </c>
      <c r="E18" s="4" t="inlineStr">
        <is>
          <t>таргет</t>
        </is>
      </c>
      <c r="F18" s="4" t="inlineStr"/>
      <c r="G18" s="4" t="inlineStr"/>
      <c r="H18" s="4" t="inlineStr">
        <is>
          <t>16</t>
        </is>
      </c>
      <c r="I18" s="4" t="inlineStr">
        <is>
          <t>Очередь</t>
        </is>
      </c>
    </row>
    <row r="19">
      <c r="A19" s="4" t="n">
        <v>18</v>
      </c>
      <c r="B19" s="4" t="inlineStr">
        <is>
          <t>7 · Разбор теста и решение</t>
        </is>
      </c>
      <c r="C19" s="4" t="inlineStr">
        <is>
          <t>Разбор теста по порогам измерений</t>
        </is>
      </c>
      <c r="D19" s="4" t="inlineStr">
        <is>
          <t>отчёт разбора</t>
        </is>
      </c>
      <c r="E19" s="4" t="inlineStr">
        <is>
          <t>аналитика</t>
        </is>
      </c>
      <c r="F19" s="4" t="inlineStr"/>
      <c r="G19" s="4" t="inlineStr"/>
      <c r="H19" s="4" t="inlineStr">
        <is>
          <t>17</t>
        </is>
      </c>
      <c r="I19" s="4" t="inlineStr">
        <is>
          <t>Очередь</t>
        </is>
      </c>
    </row>
    <row r="20">
      <c r="A20" s="4" t="n">
        <v>19</v>
      </c>
      <c r="B20" s="4" t="inlineStr">
        <is>
          <t>7 · Разбор теста и решение</t>
        </is>
      </c>
      <c r="C20" s="4" t="inlineStr">
        <is>
          <t>Решение: стоп / правка / масштабирование</t>
        </is>
      </c>
      <c r="D20" s="4" t="inlineStr">
        <is>
          <t>зафиксированное решение с датой</t>
        </is>
      </c>
      <c r="E20" s="4" t="inlineStr">
        <is>
          <t>владелец кампании</t>
        </is>
      </c>
      <c r="F20" s="4" t="inlineStr"/>
      <c r="G20" s="4" t="inlineStr"/>
      <c r="H20" s="4" t="inlineStr">
        <is>
          <t>18</t>
        </is>
      </c>
      <c r="I20" s="4" t="inlineStr">
        <is>
          <t>Очередь</t>
        </is>
      </c>
    </row>
    <row r="21">
      <c r="A21" s="4" t="n">
        <v>20</v>
      </c>
      <c r="B21" s="4" t="inlineStr">
        <is>
          <t>8 · Масштабирование</t>
        </is>
      </c>
      <c r="C21" s="4" t="inlineStr">
        <is>
          <t>Перенос бюджета на связки-победители</t>
        </is>
      </c>
      <c r="D21" s="4" t="inlineStr">
        <is>
          <t>обновлённые кампании</t>
        </is>
      </c>
      <c r="E21" s="4" t="inlineStr">
        <is>
          <t>таргет</t>
        </is>
      </c>
      <c r="F21" s="4" t="inlineStr"/>
      <c r="G21" s="4" t="inlineStr"/>
      <c r="H21" s="4" t="inlineStr">
        <is>
          <t>19</t>
        </is>
      </c>
      <c r="I21" s="4" t="inlineStr">
        <is>
          <t>Очередь</t>
        </is>
      </c>
    </row>
    <row r="22">
      <c r="A22" s="4" t="n">
        <v>21</v>
      </c>
      <c r="B22" s="4" t="inlineStr">
        <is>
          <t>9 · Отчётность и ретроспектива</t>
        </is>
      </c>
      <c r="C22" s="4" t="inlineStr">
        <is>
          <t>Финальный отчёт: ДРР, CPL, конверсии по шагам</t>
        </is>
      </c>
      <c r="D22" s="4" t="inlineStr">
        <is>
          <t>отчёт кампании</t>
        </is>
      </c>
      <c r="E22" s="4" t="inlineStr">
        <is>
          <t>аналитика</t>
        </is>
      </c>
      <c r="F22" s="4" t="inlineStr"/>
      <c r="G22" s="4" t="inlineStr"/>
      <c r="H22" s="4" t="inlineStr">
        <is>
          <t>20</t>
        </is>
      </c>
      <c r="I22" s="4" t="inlineStr">
        <is>
          <t>Очередь</t>
        </is>
      </c>
    </row>
    <row r="23">
      <c r="A23" s="4" t="n">
        <v>22</v>
      </c>
      <c r="B23" s="4" t="inlineStr">
        <is>
          <t>9 · Отчётность и ретроспектива</t>
        </is>
      </c>
      <c r="C23" s="4" t="inlineStr">
        <is>
          <t>Ретроспектива и уроки</t>
        </is>
      </c>
      <c r="D23" s="4" t="inlineStr">
        <is>
          <t>заметка в базу знаний</t>
        </is>
      </c>
      <c r="E23" s="4" t="inlineStr">
        <is>
          <t>владелец кампании</t>
        </is>
      </c>
      <c r="F23" s="4" t="inlineStr"/>
      <c r="G23" s="4" t="inlineStr"/>
      <c r="H23" s="4" t="inlineStr">
        <is>
          <t>21</t>
        </is>
      </c>
      <c r="I23" s="4" t="inlineStr">
        <is>
          <t>Очередь</t>
        </is>
      </c>
    </row>
  </sheetData>
  <conditionalFormatting sqref="I2:I60">
    <cfRule type="expression" priority="1" dxfId="0">
      <formula>I2="Готово"</formula>
    </cfRule>
    <cfRule type="expression" priority="2" dxfId="1">
      <formula>I2="В работе"</formula>
    </cfRule>
    <cfRule type="expression" priority="3" dxfId="2">
      <formula>I2="Проверка"</formula>
    </cfRule>
  </conditionalFormatting>
  <dataValidations count="2">
    <dataValidation sqref="E2:E60" showDropDown="0" showInputMessage="0" showErrorMessage="0" allowBlank="0" type="list">
      <formula1>"таргет,посадочная,аналитика,платежи,методология,юридическое,владелец кампании"</formula1>
    </dataValidation>
    <dataValidation sqref="I2:I60" showDropDown="0" showInputMessage="0" showErrorMessage="0" allowBlank="0" type="list">
      <formula1>"Очередь,В работе,Проверка,Готово"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8" t="inlineStr">
        <is>
          <t>Спринт-доска = столбец «Статус» на листе «План работ»</t>
        </is>
      </c>
    </row>
    <row r="2">
      <c r="A2" s="9" t="inlineStr">
        <is>
          <t>Сводка считается автоматически:</t>
        </is>
      </c>
    </row>
    <row r="4">
      <c r="A4" s="3" t="inlineStr">
        <is>
          <t>Очередь</t>
        </is>
      </c>
      <c r="B4" s="10">
        <f>COUNTIF('План работ'!I:I,"Очередь")</f>
        <v/>
      </c>
    </row>
    <row r="5">
      <c r="A5" s="3" t="inlineStr">
        <is>
          <t>В работе</t>
        </is>
      </c>
      <c r="B5" s="10">
        <f>COUNTIF('План работ'!I:I,"В работе")</f>
        <v/>
      </c>
    </row>
    <row r="6">
      <c r="A6" s="3" t="inlineStr">
        <is>
          <t>Проверка</t>
        </is>
      </c>
      <c r="B6" s="10">
        <f>COUNTIF('План работ'!I:I,"Проверка")</f>
        <v/>
      </c>
    </row>
    <row r="7">
      <c r="A7" s="3" t="inlineStr">
        <is>
          <t>Готово</t>
        </is>
      </c>
      <c r="B7" s="10">
        <f>COUNTIF('План работ'!I:I,"Готово")</f>
        <v/>
      </c>
    </row>
    <row r="9">
      <c r="A9" s="3" t="inlineStr">
        <is>
          <t>Всего задач</t>
        </is>
      </c>
      <c r="B9" s="11">
        <f>COUNTA('План работ'!C2:C60)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</cols>
  <sheetData>
    <row r="1">
      <c r="A1" s="3" t="inlineStr">
        <is>
          <t>Старт диаграммы (дата):</t>
        </is>
      </c>
      <c r="B1" s="12">
        <f>TODAY()</f>
        <v/>
      </c>
    </row>
    <row r="2">
      <c r="A2" s="9" t="inlineStr">
        <is>
          <t>Полосы появляются, когда в «Плане работ» заданы Начало и Срок. Сетка — 42 дня от старта.</t>
        </is>
      </c>
    </row>
    <row r="4">
      <c r="A4" s="7" t="inlineStr">
        <is>
          <t>Задача (из плана)</t>
        </is>
      </c>
      <c r="B4" s="13">
        <f>$B$1+0</f>
        <v/>
      </c>
      <c r="C4" s="13">
        <f>$B$1+1</f>
        <v/>
      </c>
      <c r="D4" s="13">
        <f>$B$1+2</f>
        <v/>
      </c>
      <c r="E4" s="13">
        <f>$B$1+3</f>
        <v/>
      </c>
      <c r="F4" s="13">
        <f>$B$1+4</f>
        <v/>
      </c>
      <c r="G4" s="13">
        <f>$B$1+5</f>
        <v/>
      </c>
      <c r="H4" s="13">
        <f>$B$1+6</f>
        <v/>
      </c>
      <c r="I4" s="13">
        <f>$B$1+7</f>
        <v/>
      </c>
      <c r="J4" s="13">
        <f>$B$1+8</f>
        <v/>
      </c>
      <c r="K4" s="13">
        <f>$B$1+9</f>
        <v/>
      </c>
      <c r="L4" s="13">
        <f>$B$1+10</f>
        <v/>
      </c>
      <c r="M4" s="13">
        <f>$B$1+11</f>
        <v/>
      </c>
      <c r="N4" s="13">
        <f>$B$1+12</f>
        <v/>
      </c>
      <c r="O4" s="13">
        <f>$B$1+13</f>
        <v/>
      </c>
      <c r="P4" s="13">
        <f>$B$1+14</f>
        <v/>
      </c>
      <c r="Q4" s="13">
        <f>$B$1+15</f>
        <v/>
      </c>
      <c r="R4" s="13">
        <f>$B$1+16</f>
        <v/>
      </c>
      <c r="S4" s="13">
        <f>$B$1+17</f>
        <v/>
      </c>
      <c r="T4" s="13">
        <f>$B$1+18</f>
        <v/>
      </c>
      <c r="U4" s="13">
        <f>$B$1+19</f>
        <v/>
      </c>
      <c r="V4" s="13">
        <f>$B$1+20</f>
        <v/>
      </c>
      <c r="W4" s="13">
        <f>$B$1+21</f>
        <v/>
      </c>
      <c r="X4" s="13">
        <f>$B$1+22</f>
        <v/>
      </c>
      <c r="Y4" s="13">
        <f>$B$1+23</f>
        <v/>
      </c>
      <c r="Z4" s="13">
        <f>$B$1+24</f>
        <v/>
      </c>
      <c r="AA4" s="13">
        <f>$B$1+25</f>
        <v/>
      </c>
      <c r="AB4" s="13">
        <f>$B$1+26</f>
        <v/>
      </c>
      <c r="AC4" s="13">
        <f>$B$1+27</f>
        <v/>
      </c>
      <c r="AD4" s="13">
        <f>$B$1+28</f>
        <v/>
      </c>
      <c r="AE4" s="13">
        <f>$B$1+29</f>
        <v/>
      </c>
      <c r="AF4" s="13">
        <f>$B$1+30</f>
        <v/>
      </c>
      <c r="AG4" s="13">
        <f>$B$1+31</f>
        <v/>
      </c>
      <c r="AH4" s="13">
        <f>$B$1+32</f>
        <v/>
      </c>
      <c r="AI4" s="13">
        <f>$B$1+33</f>
        <v/>
      </c>
      <c r="AJ4" s="13">
        <f>$B$1+34</f>
        <v/>
      </c>
      <c r="AK4" s="13">
        <f>$B$1+35</f>
        <v/>
      </c>
      <c r="AL4" s="13">
        <f>$B$1+36</f>
        <v/>
      </c>
      <c r="AM4" s="13">
        <f>$B$1+37</f>
        <v/>
      </c>
      <c r="AN4" s="13">
        <f>$B$1+38</f>
        <v/>
      </c>
      <c r="AO4" s="13">
        <f>$B$1+39</f>
        <v/>
      </c>
      <c r="AP4" s="13">
        <f>$B$1+40</f>
        <v/>
      </c>
      <c r="AQ4" s="13">
        <f>$B$1+41</f>
        <v/>
      </c>
    </row>
    <row r="5">
      <c r="A5" s="14">
        <f>'План работ'!C2</f>
        <v/>
      </c>
    </row>
    <row r="6">
      <c r="A6" s="14">
        <f>'План работ'!C3</f>
        <v/>
      </c>
    </row>
    <row r="7">
      <c r="A7" s="14">
        <f>'План работ'!C4</f>
        <v/>
      </c>
    </row>
    <row r="8">
      <c r="A8" s="14">
        <f>'План работ'!C5</f>
        <v/>
      </c>
    </row>
    <row r="9">
      <c r="A9" s="14">
        <f>'План работ'!C6</f>
        <v/>
      </c>
    </row>
    <row r="10">
      <c r="A10" s="14">
        <f>'План работ'!C7</f>
        <v/>
      </c>
    </row>
    <row r="11">
      <c r="A11" s="14">
        <f>'План работ'!C8</f>
        <v/>
      </c>
    </row>
    <row r="12">
      <c r="A12" s="14">
        <f>'План работ'!C9</f>
        <v/>
      </c>
    </row>
    <row r="13">
      <c r="A13" s="14">
        <f>'План работ'!C10</f>
        <v/>
      </c>
    </row>
    <row r="14">
      <c r="A14" s="14">
        <f>'План работ'!C11</f>
        <v/>
      </c>
    </row>
    <row r="15">
      <c r="A15" s="14">
        <f>'План работ'!C12</f>
        <v/>
      </c>
    </row>
    <row r="16">
      <c r="A16" s="14">
        <f>'План работ'!C13</f>
        <v/>
      </c>
    </row>
    <row r="17">
      <c r="A17" s="14">
        <f>'План работ'!C14</f>
        <v/>
      </c>
    </row>
    <row r="18">
      <c r="A18" s="14">
        <f>'План работ'!C15</f>
        <v/>
      </c>
    </row>
    <row r="19">
      <c r="A19" s="14">
        <f>'План работ'!C16</f>
        <v/>
      </c>
    </row>
    <row r="20">
      <c r="A20" s="14">
        <f>'План работ'!C17</f>
        <v/>
      </c>
    </row>
    <row r="21">
      <c r="A21" s="14">
        <f>'План работ'!C18</f>
        <v/>
      </c>
    </row>
    <row r="22">
      <c r="A22" s="14">
        <f>'План работ'!C19</f>
        <v/>
      </c>
    </row>
    <row r="23">
      <c r="A23" s="14">
        <f>'План работ'!C20</f>
        <v/>
      </c>
    </row>
    <row r="24">
      <c r="A24" s="14">
        <f>'План работ'!C21</f>
        <v/>
      </c>
    </row>
    <row r="25">
      <c r="A25" s="14">
        <f>'План работ'!C22</f>
        <v/>
      </c>
    </row>
    <row r="26">
      <c r="A26" s="14">
        <f>'План работ'!C23</f>
        <v/>
      </c>
    </row>
  </sheetData>
  <conditionalFormatting sqref="B5:AQ26">
    <cfRule type="expression" priority="1" dxfId="3">
      <formula>AND('План работ'!$F2&lt;&gt;"",'План работ'!$G2&lt;&gt;"",B$4&gt;='План работ'!$F2,B$4&lt;='План работ'!$G2)</formula>
    </cfRule>
    <cfRule type="expression" priority="2" dxfId="4">
      <formula>B$4=TODAY()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БРИФ ТАРГЕТОЛОГУ — MainExperts, Поток 2</t>
        </is>
      </c>
    </row>
    <row r="2">
      <c r="A2" s="16">
        <f>CONCATENATE("Кампания: ",Паспорт!B4," · Статус: ",Паспорт!B18," · Оффер: ",Паспорт!B8)</f>
        <v/>
      </c>
    </row>
    <row r="3">
      <c r="A3" s="16">
        <f>CONCATENATE("Шаг после квиза: ",Паспорт!B9,"  (дата решения: ",TEXT(Паспорт!B10,"DD.MM.YYYY"),")")</f>
        <v/>
      </c>
    </row>
    <row r="4">
      <c r="A4" s="16" t="inlineStr"/>
    </row>
    <row r="5">
      <c r="A5" s="16" t="inlineStr">
        <is>
          <t>1. ДОСТУПЫ: кабинеты VK [заполнить], Meta [заполнить]; пиксели [заполнить]; Метрика/GA/Data Studio [заполнить]</t>
        </is>
      </c>
    </row>
    <row r="6">
      <c r="A6" s="16" t="inlineStr">
        <is>
          <t>2. UTM: https://mainexperts.online/[посадочная]?utm_source={vk|meta}&amp;utm_medium=cpc&amp;utm_campaign=[название]&amp;utm_content={креатив}&amp;utm_term={аудитория}. Домен .ru с Meta не работает — только mainexperts.online (канон).</t>
        </is>
      </c>
    </row>
    <row r="7">
      <c r="A7" s="16">
        <f>CONCATENATE("3. ЯЧЕЙКИ: ",Паспорт!B6," — бюджет ",Паспорт!B12," $;  ",Паспорт!B7," — бюджет ",Паспорт!B13," $. Минимум 400 $ на ячейку — внутренний норматив.")</f>
        <v/>
      </c>
    </row>
    <row r="8">
      <c r="A8" s="16" t="inlineStr">
        <is>
          <t xml:space="preserve">   Аудитория: родители 38–50 (персонажи кастдева); развилка «родитель/подросток» не закрыта — закупка на родителя. Исключения: [заполнить]</t>
        </is>
      </c>
    </row>
    <row r="9">
      <c r="A9" s="16" t="inlineStr">
        <is>
          <t>4. ФОРМАТЫ: истории + карусель (видео — следующий шаг); 5 слоганов под A/B, заглушка — «Определи будущее твоего ребёнка».</t>
        </is>
      </c>
    </row>
    <row r="10">
      <c r="A10" s="16" t="inlineStr">
        <is>
          <t xml:space="preserve">   ЗАПРЕЩЕНО: названия методик (нет лицензии — только рабочие переименования); ПДн детей; обещания гарантированного результата.</t>
        </is>
      </c>
    </row>
    <row r="11">
      <c r="A11" s="16">
        <f>CONCATENATE("5. СТОП-ПРАВИЛА: расход без лида до стопа ",Измерения!B10," $; потолок CPL ",Измерения!B9," $; мин. выборка ",Измерения!B11," лидов; ключевой KPI — ДРР, цель ",Паспорт!B15," %.")</f>
        <v/>
      </c>
    </row>
    <row r="12">
      <c r="A12" s="16" t="inlineStr">
        <is>
          <t xml:space="preserve">   Порядок разбора отклонений: кампания → креатив → аудитория → посадочная.</t>
        </is>
      </c>
    </row>
    <row r="13">
      <c r="A13" s="16" t="inlineStr">
        <is>
          <t>6. МАРКИРОВКА/ПОЛИТИКИ: РФ — ОРД + erid на каждый креатив; площадки — категория «дети», обещания результата, здоровье.</t>
        </is>
      </c>
    </row>
    <row r="14">
      <c r="A14" s="16">
        <f>CONCATENATE("7. ОТЧЁТНОСТЬ: ",Измерения!B12,". Формат: расход, показы, клики, CPL, лиды, шаги квиза, оплаты, ДРР по ячейке. Данные Потока 1 не включаются.")</f>
        <v/>
      </c>
    </row>
    <row r="15">
      <c r="A15" s="16" t="inlineStr">
        <is>
          <t>8. КОНТАКТНЫЕ ТОЧКИ (без имён): таргет · посадочная · аналитика · платежи · методология · юридическое · владелец кампании</t>
        </is>
      </c>
    </row>
    <row r="16">
      <c r="A16" s="16" t="inlineStr">
        <is>
          <t>Гипотеза кампании не валидирована — кампания и есть её проверка.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8" customWidth="1" min="1" max="1"/>
    <col width="10" customWidth="1" min="2" max="2"/>
  </cols>
  <sheetData>
    <row r="1">
      <c r="A1" s="17">
        <f>IF(COUNTIF(B4:B12,"да")=9,"✓ ГОТОВ К ЗАПУСКУ — все «да»","■ ЗАПУСК ЗАПРЕЩЁН — "&amp;COUNTIF(B4:B12,"да")&amp;" из 9 «да»")</f>
        <v/>
      </c>
    </row>
    <row r="2">
      <c r="A2" s="9" t="inlineStr">
        <is>
          <t>Правило: без всех «да» запуск запрещён.</t>
        </is>
      </c>
    </row>
    <row r="3">
      <c r="A3" s="7" t="inlineStr">
        <is>
          <t>Пункт</t>
        </is>
      </c>
      <c r="B3" s="7" t="inlineStr">
        <is>
          <t>Да/Нет</t>
        </is>
      </c>
    </row>
    <row r="4">
      <c r="A4" s="18" t="inlineStr">
        <is>
          <t>Методология скрининга принята (блокер №1 канона)</t>
        </is>
      </c>
      <c r="B4" s="11" t="inlineStr">
        <is>
          <t>нет</t>
        </is>
      </c>
    </row>
    <row r="5">
      <c r="A5" s="18" t="inlineStr">
        <is>
          <t>Профиль после скрининга не пустой (продуктовый блокер)</t>
        </is>
      </c>
      <c r="B5" s="11" t="inlineStr">
        <is>
          <t>нет</t>
        </is>
      </c>
    </row>
    <row r="6">
      <c r="A6" s="18" t="inlineStr">
        <is>
          <t>Квиз проходится с телефона за целевое время</t>
        </is>
      </c>
      <c r="B6" s="11" t="inlineStr">
        <is>
          <t>нет</t>
        </is>
      </c>
    </row>
    <row r="7">
      <c r="A7" s="18" t="inlineStr">
        <is>
          <t>События летят насквозь до оплаты</t>
        </is>
      </c>
      <c r="B7" s="11" t="inlineStr">
        <is>
          <t>нет</t>
        </is>
      </c>
    </row>
    <row r="8">
      <c r="A8" s="18" t="inlineStr">
        <is>
          <t>Тестовая транзакция Robokassa прошла</t>
        </is>
      </c>
      <c r="B8" s="11" t="inlineStr">
        <is>
          <t>нет</t>
        </is>
      </c>
    </row>
    <row r="9">
      <c r="A9" s="18" t="inlineStr">
        <is>
          <t>Оферта и согласия на посадочной</t>
        </is>
      </c>
      <c r="B9" s="11" t="inlineStr">
        <is>
          <t>нет</t>
        </is>
      </c>
    </row>
    <row r="10">
      <c r="A10" s="18" t="inlineStr">
        <is>
          <t>Маркировка (ОРД, erid) настроена</t>
        </is>
      </c>
      <c r="B10" s="11" t="inlineStr">
        <is>
          <t>нет</t>
        </is>
      </c>
    </row>
    <row r="11">
      <c r="A11" s="18" t="inlineStr">
        <is>
          <t>Стоп-правила согласованы</t>
        </is>
      </c>
      <c r="B11" s="11" t="inlineStr">
        <is>
          <t>нет</t>
        </is>
      </c>
    </row>
    <row r="12">
      <c r="A12" s="18" t="inlineStr">
        <is>
          <t>Выбор флоу (оплата до/после скрининга) зафиксирован с датой</t>
        </is>
      </c>
      <c r="B12" s="11" t="inlineStr">
        <is>
          <t>нет</t>
        </is>
      </c>
    </row>
  </sheetData>
  <conditionalFormatting sqref="B4:B12">
    <cfRule type="expression" priority="1" dxfId="0">
      <formula>B4="да"</formula>
    </cfRule>
    <cfRule type="expression" priority="2" dxfId="4">
      <formula>B4="нет"</formula>
    </cfRule>
  </conditionalFormatting>
  <dataValidations count="1">
    <dataValidation sqref="B4 B5 B6 B7 B8 B9 B10 B11 B12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44" customWidth="1" min="4" max="4"/>
    <col width="30" customWidth="1" min="5" max="5"/>
  </cols>
  <sheetData>
    <row r="1">
      <c r="A1" s="7" t="inlineStr">
        <is>
          <t>Риск</t>
        </is>
      </c>
      <c r="B1" s="7" t="inlineStr">
        <is>
          <t>Вероятность</t>
        </is>
      </c>
      <c r="C1" s="7" t="inlineStr">
        <is>
          <t>Эффект</t>
        </is>
      </c>
      <c r="D1" s="7" t="inlineStr">
        <is>
          <t>Действие</t>
        </is>
      </c>
      <c r="E1" s="7" t="inlineStr">
        <is>
          <t>Триггер</t>
        </is>
      </c>
    </row>
    <row r="2">
      <c r="A2" s="4" t="inlineStr">
        <is>
          <t>Юридический: данные несовершеннолетних, согласие родителя</t>
        </is>
      </c>
      <c r="B2" s="4" t="inlineStr">
        <is>
          <t>средняя</t>
        </is>
      </c>
      <c r="C2" s="4" t="inlineStr">
        <is>
          <t>высокий</t>
        </is>
      </c>
      <c r="D2" s="4" t="inlineStr">
        <is>
          <t>возрастная логика; согласие; минимизация ПДн детей</t>
        </is>
      </c>
      <c r="E2" s="4" t="inlineStr">
        <is>
          <t>жалоба / претензия / блок площадки</t>
        </is>
      </c>
    </row>
    <row r="3">
      <c r="A3" s="4" t="inlineStr">
        <is>
          <t>Продуктовый: пустой профиль после скрининга</t>
        </is>
      </c>
      <c r="B3" s="4" t="inlineStr">
        <is>
          <t>высокая</t>
        </is>
      </c>
      <c r="C3" s="4" t="inlineStr">
        <is>
          <t>высокий</t>
        </is>
      </c>
      <c r="D3" s="4" t="inlineStr">
        <is>
          <t>не запускать до закрытия блокера (чек-лист)</t>
        </is>
      </c>
      <c r="E3" s="4" t="inlineStr">
        <is>
          <t>тест прохождения квиза</t>
        </is>
      </c>
    </row>
    <row r="4">
      <c r="A4" s="4" t="inlineStr">
        <is>
          <t>Аналитический: разрывы атрибуции; ограничения Meta по iOS</t>
        </is>
      </c>
      <c r="B4" s="4" t="inlineStr">
        <is>
          <t>высокая</t>
        </is>
      </c>
      <c r="C4" s="4" t="inlineStr">
        <is>
          <t>средний</t>
        </is>
      </c>
      <c r="D4" s="4" t="inlineStr">
        <is>
          <t>ручное сведение оплат с источником; окно атрибуции</t>
        </is>
      </c>
      <c r="E4" s="4" t="inlineStr">
        <is>
          <t>расхождение платёжки и кабинета</t>
        </is>
      </c>
    </row>
    <row r="5">
      <c r="A5" s="4" t="inlineStr">
        <is>
          <t>Платёжный: отклонение карт; комиссия 10%</t>
        </is>
      </c>
      <c r="B5" s="4" t="inlineStr">
        <is>
          <t>средняя</t>
        </is>
      </c>
      <c r="C5" s="4" t="inlineStr">
        <is>
          <t>средний</t>
        </is>
      </c>
      <c r="D5" s="4" t="inlineStr">
        <is>
          <t>тестовые транзакции; Stripe — параллельно, не блокер</t>
        </is>
      </c>
      <c r="E5" s="4" t="inlineStr">
        <is>
          <t>доля отклонённых оплат</t>
        </is>
      </c>
    </row>
    <row r="6">
      <c r="A6" s="4" t="inlineStr">
        <is>
          <t>Модерация площадок: категория «дети», обещания результата</t>
        </is>
      </c>
      <c r="B6" s="4" t="inlineStr">
        <is>
          <t>средняя</t>
        </is>
      </c>
      <c r="C6" s="4" t="inlineStr">
        <is>
          <t>средний</t>
        </is>
      </c>
      <c r="D6" s="4" t="inlineStr">
        <is>
          <t>тексты без запрещённых обещаний; запас креативов</t>
        </is>
      </c>
      <c r="E6" s="4" t="inlineStr">
        <is>
          <t>реджект кампании</t>
        </is>
      </c>
    </row>
    <row r="7">
      <c r="A7" s="4" t="inlineStr">
        <is>
          <t>Гео/валютные ограничения MENA</t>
        </is>
      </c>
      <c r="B7" s="4" t="inlineStr">
        <is>
          <t>средняя</t>
        </is>
      </c>
      <c r="C7" s="4" t="inlineStr">
        <is>
          <t>средний</t>
        </is>
      </c>
      <c r="D7" s="4" t="inlineStr">
        <is>
          <t>проверка оплат из MENA до масштабирования</t>
        </is>
      </c>
      <c r="E7" s="4" t="inlineStr">
        <is>
          <t>провал оплат по гео</t>
        </is>
      </c>
    </row>
    <row r="8">
      <c r="A8" s="4" t="inlineStr">
        <is>
          <t>Центральная гипотеза не валидирована</t>
        </is>
      </c>
      <c r="B8" s="4" t="inlineStr">
        <is>
          <t>—</t>
        </is>
      </c>
      <c r="C8" s="4" t="inlineStr">
        <is>
          <t>критический</t>
        </is>
      </c>
      <c r="D8" s="4" t="inlineStr">
        <is>
          <t>кампания = проверка; трактовать результат как тест</t>
        </is>
      </c>
      <c r="E8" s="4" t="inlineStr">
        <is>
          <t>конверсия скрининг→оплата</t>
        </is>
      </c>
    </row>
  </sheetData>
  <dataValidations count="2">
    <dataValidation sqref="B2:B40" showDropDown="0" showInputMessage="0" showErrorMessage="0" allowBlank="0" type="list">
      <formula1>"низкая,средняя,высокая,—"</formula1>
    </dataValidation>
    <dataValidation sqref="C2:C40" showDropDown="0" showInputMessage="0" showErrorMessage="0" allowBlank="0" type="list">
      <formula1>"низкий,средний,высокий,критический"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.4" customWidth="1" min="3" max="3"/>
    <col width="12.1" customWidth="1" min="4" max="4"/>
    <col width="29.7" customWidth="1" min="5" max="5"/>
    <col width="17.6" customWidth="1" min="6" max="6"/>
    <col width="33" customWidth="1" min="7" max="7"/>
    <col width="17.6" customWidth="1" min="8" max="8"/>
    <col width="12" customWidth="1" min="9" max="9"/>
  </cols>
  <sheetData>
    <row r="1">
      <c r="A1" s="3" t="inlineStr">
        <is>
          <t>Цепочка событий (вебинарная ячейка = другая цепочка):</t>
        </is>
      </c>
    </row>
    <row r="2">
      <c r="A2" s="19" t="inlineStr">
        <is>
          <t>Показ</t>
        </is>
      </c>
      <c r="B2" s="19" t="inlineStr">
        <is>
          <t>Клик</t>
        </is>
      </c>
      <c r="C2" s="19" t="inlineStr">
        <is>
          <t>Открытие квиза</t>
        </is>
      </c>
      <c r="D2" s="19" t="inlineStr">
        <is>
          <t>Старт квиза</t>
        </is>
      </c>
      <c r="E2" s="19" t="inlineStr">
        <is>
          <t>Шаги квиза (отвал по шагам)</t>
        </is>
      </c>
      <c r="F2" s="19" t="inlineStr">
        <is>
          <t>Завершение квиза</t>
        </is>
      </c>
      <c r="G2" s="19" t="inlineStr">
        <is>
          <t>Контакт (e-mail до результата)</t>
        </is>
      </c>
      <c r="H2" s="19" t="inlineStr">
        <is>
          <t>Целевое действие</t>
        </is>
      </c>
      <c r="I2" s="19" t="inlineStr">
        <is>
          <t>Оплата</t>
        </is>
      </c>
    </row>
    <row r="4">
      <c r="A4" s="3" t="inlineStr">
        <is>
          <t>Формулы:</t>
        </is>
      </c>
    </row>
    <row r="5">
      <c r="A5" s="20" t="inlineStr">
        <is>
          <t>ДРР = расход ÷ выручка кампании × 100% (ключевой KPI)</t>
        </is>
      </c>
    </row>
    <row r="6">
      <c r="A6" s="20" t="inlineStr">
        <is>
          <t>CPL = расход ÷ лиды (прокси)</t>
        </is>
      </c>
    </row>
    <row r="7">
      <c r="A7" s="20" t="inlineStr">
        <is>
          <t>Конверсия шага = следующий шаг ÷ предыдущий; выручка — только оплаты Потока 2, атрибутированные кампании (сведение вручную)</t>
        </is>
      </c>
    </row>
    <row r="8">
      <c r="A8" s="7" t="inlineStr">
        <is>
          <t>Порог решения</t>
        </is>
      </c>
      <c r="B8" s="7" t="inlineStr">
        <is>
          <t>Значение</t>
        </is>
      </c>
      <c r="C8" s="7" t="inlineStr">
        <is>
          <t>Комментарий</t>
        </is>
      </c>
    </row>
    <row r="9">
      <c r="A9" s="21" t="inlineStr">
        <is>
          <t>Потолок CPL, $</t>
        </is>
      </c>
      <c r="B9" s="22" t="inlineStr"/>
      <c r="C9" s="23" t="inlineStr">
        <is>
          <t>стоп связки при превышении на выборке</t>
        </is>
      </c>
    </row>
    <row r="10">
      <c r="A10" s="10" t="inlineStr">
        <is>
          <t>Расход без лида до стопа, $</t>
        </is>
      </c>
      <c r="B10" s="24" t="inlineStr"/>
      <c r="C10" s="9" t="inlineStr">
        <is>
          <t>стоп-правило</t>
        </is>
      </c>
    </row>
    <row r="11">
      <c r="A11" s="10" t="inlineStr">
        <is>
          <t>Мин. выборка до решения, лидов</t>
        </is>
      </c>
      <c r="B11" s="24" t="inlineStr"/>
      <c r="C11" s="9" t="inlineStr">
        <is>
          <t>до неё решений не принимать</t>
        </is>
      </c>
    </row>
    <row r="12">
      <c r="A12" s="10" t="inlineStr">
        <is>
          <t>Частота отчёта таргетолога</t>
        </is>
      </c>
      <c r="B12" s="24" t="inlineStr">
        <is>
          <t>2 раза в неделю</t>
        </is>
      </c>
      <c r="C12" s="9" t="inlineStr">
        <is>
          <t>в бриф</t>
        </is>
      </c>
    </row>
    <row r="13">
      <c r="A13" s="10" t="inlineStr">
        <is>
          <t>Окно атрибуции, дней</t>
        </is>
      </c>
      <c r="B13" s="24" t="inlineStr"/>
      <c r="C13" s="9" t="inlineStr">
        <is>
          <t>зафиксировать до первого прогона</t>
        </is>
      </c>
    </row>
    <row r="16" ht="40" customHeight="1">
      <c r="A16" s="6" t="inlineStr">
        <is>
          <t>Решения по порогам: стоп → правка → масштабирование. Порядок разбора отклонений: кампания → креатив → аудитория → посадочная. ДАННЫЕ ПОТОКА 1 В ОТЧЁТЫ КАМПАНИИ НЕ ПОПАДАЮТ.</t>
        </is>
      </c>
    </row>
  </sheetData>
  <mergeCells count="1"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2026-07-06T07:54:03Z</dcterms:created>
  <dcterms:modified xsi:type="dcterms:W3CDTF">2026-07-06T07:54:38Z</dcterms:modified>
</cp:coreProperties>
</file>