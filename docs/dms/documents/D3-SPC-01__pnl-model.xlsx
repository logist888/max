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тформа" sheetId="1" state="visible" r:id="rId1"/>
    <sheet name="Поток-1" sheetId="2" state="visible" r:id="rId2"/>
    <sheet name="Свод" sheetId="3" state="visible" r:id="rId3"/>
    <sheet name="Справ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</font>
    <font>
      <sz val="9"/>
    </font>
    <font>
      <b val="1"/>
      <sz val="9"/>
    </font>
    <font>
      <name val="Consolas"/>
      <sz val="8"/>
    </font>
    <font>
      <color rgb="006F889F"/>
      <sz val="8"/>
    </font>
    <font/>
    <font>
      <b val="1"/>
      <color rgb="00FFFFFF"/>
    </font>
    <font>
      <name val="Consolas"/>
      <b val="1"/>
      <color rgb="00FFFFFF"/>
      <sz val="8"/>
    </font>
    <font>
      <color rgb="00FFFFFF"/>
    </font>
    <font>
      <name val="Consolas"/>
      <b val="1"/>
      <color rgb="00000000"/>
      <sz val="8"/>
    </font>
    <font>
      <b val="1"/>
      <color rgb="001A2B3E"/>
    </font>
  </fonts>
  <fills count="8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6AA84F"/>
      </patternFill>
    </fill>
    <fill>
      <patternFill patternType="solid">
        <fgColor rgb="00F4CCCC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6" fillId="0" borderId="0" applyAlignment="1" pivotButton="0" quotePrefix="0" xfId="0">
      <alignment horizontal="left"/>
    </xf>
    <xf numFmtId="0" fontId="5" fillId="0" borderId="0" pivotButton="0" quotePrefix="0" xfId="0"/>
    <xf numFmtId="3" fontId="0" fillId="0" borderId="0" applyAlignment="1" pivotButton="0" quotePrefix="0" xfId="0">
      <alignment horizontal="center"/>
    </xf>
    <xf numFmtId="3" fontId="0" fillId="4" borderId="0" applyAlignment="1" pivotButton="0" quotePrefix="0" xfId="0">
      <alignment horizontal="center"/>
    </xf>
    <xf numFmtId="0" fontId="4" fillId="0" borderId="0" pivotButton="0" quotePrefix="0" xfId="0"/>
    <xf numFmtId="164" fontId="0" fillId="4" borderId="0" applyAlignment="1" pivotButton="0" quotePrefix="0" xfId="0">
      <alignment horizontal="center"/>
    </xf>
    <xf numFmtId="0" fontId="8" fillId="5" borderId="0" pivotButton="0" quotePrefix="0" xfId="0"/>
    <xf numFmtId="0" fontId="7" fillId="5" borderId="0" applyAlignment="1" pivotButton="0" quotePrefix="0" xfId="0">
      <alignment horizontal="left"/>
    </xf>
    <xf numFmtId="0" fontId="5" fillId="5" borderId="0" pivotButton="0" quotePrefix="0" xfId="0"/>
    <xf numFmtId="3" fontId="9" fillId="5" borderId="0" applyAlignment="1" pivotButton="0" quotePrefix="0" xfId="0">
      <alignment horizontal="center"/>
    </xf>
    <xf numFmtId="164" fontId="9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center"/>
    </xf>
    <xf numFmtId="0" fontId="10" fillId="6" borderId="0" pivotButton="0" quotePrefix="0" xfId="0"/>
    <xf numFmtId="0" fontId="1" fillId="6" borderId="0" applyAlignment="1" pivotButton="0" quotePrefix="0" xfId="0">
      <alignment horizontal="left"/>
    </xf>
    <xf numFmtId="0" fontId="5" fillId="6" borderId="0" pivotButton="0" quotePrefix="0" xfId="0"/>
    <xf numFmtId="3" fontId="0" fillId="6" borderId="0" applyAlignment="1" pivotButton="0" quotePrefix="0" xfId="0">
      <alignment horizontal="center"/>
    </xf>
    <xf numFmtId="164" fontId="6" fillId="6" borderId="0" applyAlignment="1" pivotButton="0" quotePrefix="0" xfId="0">
      <alignment horizontal="center"/>
    </xf>
    <xf numFmtId="3" fontId="1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4" fillId="6" borderId="0" pivotButton="0" quotePrefix="0" xfId="0"/>
    <xf numFmtId="0" fontId="4" fillId="7" borderId="0" pivotButton="0" quotePrefix="0" xfId="0"/>
    <xf numFmtId="0" fontId="1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MainExperts · P&amp;L · Платформа (Поток-2, самообслуживание) · ₽ · белое — ввод, серое — авто</t>
        </is>
      </c>
    </row>
    <row r="2">
      <c r="A2" s="2" t="n"/>
      <c r="B2" s="2" t="n"/>
      <c r="C2" s="2" t="n"/>
      <c r="D2" s="3" t="inlineStr">
        <is>
          <t>июл.26</t>
        </is>
      </c>
      <c r="G2" s="3" t="inlineStr">
        <is>
          <t>авг.26</t>
        </is>
      </c>
      <c r="J2" s="3" t="inlineStr">
        <is>
          <t>сен.26</t>
        </is>
      </c>
      <c r="M2" s="3" t="inlineStr">
        <is>
          <t>окт.26</t>
        </is>
      </c>
      <c r="P2" s="3" t="inlineStr">
        <is>
          <t>ноя.26</t>
        </is>
      </c>
      <c r="S2" s="3" t="inlineStr">
        <is>
          <t>дек.26</t>
        </is>
      </c>
      <c r="V2" s="3" t="inlineStr">
        <is>
          <t>Год</t>
        </is>
      </c>
    </row>
    <row r="3">
      <c r="A3" s="4" t="inlineStr">
        <is>
          <t>Код</t>
        </is>
      </c>
      <c r="B3" s="4" t="inlineStr">
        <is>
          <t>Статья / метрика</t>
        </is>
      </c>
      <c r="C3" s="4" t="inlineStr">
        <is>
          <t>Направление</t>
        </is>
      </c>
      <c r="D3" s="5" t="inlineStr">
        <is>
          <t>План</t>
        </is>
      </c>
      <c r="E3" s="5" t="inlineStr">
        <is>
          <t>Факт</t>
        </is>
      </c>
      <c r="F3" s="5" t="inlineStr">
        <is>
          <t>%</t>
        </is>
      </c>
      <c r="G3" s="5" t="inlineStr">
        <is>
          <t>План</t>
        </is>
      </c>
      <c r="H3" s="5" t="inlineStr">
        <is>
          <t>Факт</t>
        </is>
      </c>
      <c r="I3" s="5" t="inlineStr">
        <is>
          <t>%</t>
        </is>
      </c>
      <c r="J3" s="5" t="inlineStr">
        <is>
          <t>План</t>
        </is>
      </c>
      <c r="K3" s="5" t="inlineStr">
        <is>
          <t>Факт</t>
        </is>
      </c>
      <c r="L3" s="5" t="inlineStr">
        <is>
          <t>%</t>
        </is>
      </c>
      <c r="M3" s="5" t="inlineStr">
        <is>
          <t>План</t>
        </is>
      </c>
      <c r="N3" s="5" t="inlineStr">
        <is>
          <t>Факт</t>
        </is>
      </c>
      <c r="O3" s="5" t="inlineStr">
        <is>
          <t>%</t>
        </is>
      </c>
      <c r="P3" s="5" t="inlineStr">
        <is>
          <t>План</t>
        </is>
      </c>
      <c r="Q3" s="5" t="inlineStr">
        <is>
          <t>Факт</t>
        </is>
      </c>
      <c r="R3" s="5" t="inlineStr">
        <is>
          <t>%</t>
        </is>
      </c>
      <c r="S3" s="5" t="inlineStr">
        <is>
          <t>План</t>
        </is>
      </c>
      <c r="T3" s="5" t="inlineStr">
        <is>
          <t>Факт</t>
        </is>
      </c>
      <c r="U3" s="5" t="inlineStr">
        <is>
          <t>%</t>
        </is>
      </c>
      <c r="V3" s="6" t="inlineStr">
        <is>
          <t>План</t>
        </is>
      </c>
      <c r="W3" s="6" t="inlineStr">
        <is>
          <t>Факт</t>
        </is>
      </c>
      <c r="X3" s="6" t="inlineStr">
        <is>
          <t>%</t>
        </is>
      </c>
    </row>
    <row r="4">
      <c r="A4" s="7" t="inlineStr"/>
      <c r="B4" s="8" t="inlineStr">
        <is>
          <t>Трафик (визиты)</t>
        </is>
      </c>
      <c r="C4" s="9" t="inlineStr">
        <is>
          <t>маркетинг</t>
        </is>
      </c>
      <c r="D4" s="10" t="n"/>
      <c r="E4" s="10" t="n"/>
      <c r="G4" s="10" t="n"/>
      <c r="H4" s="10" t="n"/>
      <c r="J4" s="10" t="n"/>
      <c r="K4" s="10" t="n"/>
      <c r="M4" s="10" t="n"/>
      <c r="N4" s="10" t="n"/>
      <c r="P4" s="10" t="n"/>
      <c r="Q4" s="10" t="n"/>
      <c r="S4" s="10" t="n"/>
      <c r="T4" s="10" t="n"/>
      <c r="V4" s="11">
        <f>IFERROR(D4+G4+J4+M4+P4+S4,"")</f>
        <v/>
      </c>
      <c r="W4" s="11">
        <f>IFERROR(E4+H4+K4+N4+Q4+T4,"")</f>
        <v/>
      </c>
    </row>
    <row r="5">
      <c r="A5" s="12" t="inlineStr"/>
      <c r="B5" s="8" t="inlineStr">
        <is>
          <t>Конверсия из визита в оплату</t>
        </is>
      </c>
      <c r="C5" s="9" t="inlineStr">
        <is>
          <t>маркетинг</t>
        </is>
      </c>
      <c r="D5" s="13">
        <f>IFERROR(D7/D4,"")</f>
        <v/>
      </c>
      <c r="E5" s="13">
        <f>IFERROR(E7/E4,"")</f>
        <v/>
      </c>
      <c r="G5" s="13">
        <f>IFERROR(G7/G4,"")</f>
        <v/>
      </c>
      <c r="H5" s="13">
        <f>IFERROR(H7/H4,"")</f>
        <v/>
      </c>
      <c r="J5" s="13">
        <f>IFERROR(J7/J4,"")</f>
        <v/>
      </c>
      <c r="K5" s="13">
        <f>IFERROR(K7/K4,"")</f>
        <v/>
      </c>
      <c r="M5" s="13">
        <f>IFERROR(M7/M4,"")</f>
        <v/>
      </c>
      <c r="N5" s="13">
        <f>IFERROR(N7/N4,"")</f>
        <v/>
      </c>
      <c r="P5" s="13">
        <f>IFERROR(P7/P4,"")</f>
        <v/>
      </c>
      <c r="Q5" s="13">
        <f>IFERROR(Q7/Q4,"")</f>
        <v/>
      </c>
      <c r="S5" s="13">
        <f>IFERROR(S7/S4,"")</f>
        <v/>
      </c>
      <c r="T5" s="13">
        <f>IFERROR(T7/T4,"")</f>
        <v/>
      </c>
      <c r="V5" s="13">
        <f>IFERROR(V7/V4,"")</f>
        <v/>
      </c>
      <c r="W5" s="13">
        <f>IFERROR(W7/W4,"")</f>
        <v/>
      </c>
    </row>
    <row r="6">
      <c r="A6" s="12" t="inlineStr"/>
      <c r="B6" s="8" t="inlineStr">
        <is>
          <t>CAC (стоимость привлечения)</t>
        </is>
      </c>
      <c r="C6" s="9" t="inlineStr">
        <is>
          <t>маркетинг</t>
        </is>
      </c>
      <c r="D6" s="11">
        <f>IFERROR(D12/D7,"")</f>
        <v/>
      </c>
      <c r="E6" s="11">
        <f>IFERROR(E12/E7,"")</f>
        <v/>
      </c>
      <c r="G6" s="11">
        <f>IFERROR(G12/G7,"")</f>
        <v/>
      </c>
      <c r="H6" s="11">
        <f>IFERROR(H12/H7,"")</f>
        <v/>
      </c>
      <c r="J6" s="11">
        <f>IFERROR(J12/J7,"")</f>
        <v/>
      </c>
      <c r="K6" s="11">
        <f>IFERROR(K12/K7,"")</f>
        <v/>
      </c>
      <c r="M6" s="11">
        <f>IFERROR(M12/M7,"")</f>
        <v/>
      </c>
      <c r="N6" s="11">
        <f>IFERROR(N12/N7,"")</f>
        <v/>
      </c>
      <c r="P6" s="11">
        <f>IFERROR(P12/P7,"")</f>
        <v/>
      </c>
      <c r="Q6" s="11">
        <f>IFERROR(Q12/Q7,"")</f>
        <v/>
      </c>
      <c r="S6" s="11">
        <f>IFERROR(S12/S7,"")</f>
        <v/>
      </c>
      <c r="T6" s="11">
        <f>IFERROR(T12/T7,"")</f>
        <v/>
      </c>
      <c r="V6" s="11">
        <f>IFERROR(V12/V7,"")</f>
        <v/>
      </c>
      <c r="W6" s="11">
        <f>IFERROR(W12/W7,"")</f>
        <v/>
      </c>
    </row>
    <row r="7">
      <c r="A7" s="12" t="inlineStr"/>
      <c r="B7" s="8" t="inlineStr">
        <is>
          <t>Кол-во оплат</t>
        </is>
      </c>
      <c r="C7" s="9" t="inlineStr">
        <is>
          <t>продажи</t>
        </is>
      </c>
      <c r="D7" s="10" t="n"/>
      <c r="E7" s="10" t="n"/>
      <c r="G7" s="10" t="n"/>
      <c r="H7" s="10" t="n"/>
      <c r="J7" s="10" t="n"/>
      <c r="K7" s="10" t="n"/>
      <c r="M7" s="10" t="n"/>
      <c r="N7" s="10" t="n"/>
      <c r="P7" s="10" t="n"/>
      <c r="Q7" s="10" t="n"/>
      <c r="S7" s="10" t="n"/>
      <c r="T7" s="10" t="n"/>
      <c r="V7" s="11">
        <f>IFERROR(D7+G7+J7+M7+P7+S7,"")</f>
        <v/>
      </c>
      <c r="W7" s="11">
        <f>IFERROR(E7+H7+K7+N7+Q7+T7,"")</f>
        <v/>
      </c>
    </row>
    <row r="8">
      <c r="A8" s="12" t="inlineStr"/>
      <c r="B8" s="8" t="inlineStr">
        <is>
          <t>Средний чек</t>
        </is>
      </c>
      <c r="C8" s="9" t="inlineStr">
        <is>
          <t>продукт</t>
        </is>
      </c>
      <c r="D8" s="11">
        <f>IFERROR(D10/D7,"")</f>
        <v/>
      </c>
      <c r="E8" s="11">
        <f>IFERROR(E10/E7,"")</f>
        <v/>
      </c>
      <c r="G8" s="11">
        <f>IFERROR(G10/G7,"")</f>
        <v/>
      </c>
      <c r="H8" s="11">
        <f>IFERROR(H10/H7,"")</f>
        <v/>
      </c>
      <c r="J8" s="11">
        <f>IFERROR(J10/J7,"")</f>
        <v/>
      </c>
      <c r="K8" s="11">
        <f>IFERROR(K10/K7,"")</f>
        <v/>
      </c>
      <c r="M8" s="11">
        <f>IFERROR(M10/M7,"")</f>
        <v/>
      </c>
      <c r="N8" s="11">
        <f>IFERROR(N10/N7,"")</f>
        <v/>
      </c>
      <c r="P8" s="11">
        <f>IFERROR(P10/P7,"")</f>
        <v/>
      </c>
      <c r="Q8" s="11">
        <f>IFERROR(Q10/Q7,"")</f>
        <v/>
      </c>
      <c r="S8" s="11">
        <f>IFERROR(S10/S7,"")</f>
        <v/>
      </c>
      <c r="T8" s="11">
        <f>IFERROR(T10/T7,"")</f>
        <v/>
      </c>
      <c r="V8" s="11">
        <f>IFERROR(V10/V7,"")</f>
        <v/>
      </c>
      <c r="W8" s="11">
        <f>IFERROR(W10/W7,"")</f>
        <v/>
      </c>
    </row>
    <row r="9">
      <c r="A9" s="12" t="inlineStr"/>
      <c r="B9" s="8" t="inlineStr">
        <is>
          <t>Выручка по оплатам</t>
        </is>
      </c>
      <c r="C9" s="9" t="inlineStr">
        <is>
          <t>финансы</t>
        </is>
      </c>
      <c r="D9" s="10" t="n"/>
      <c r="E9" s="10" t="n"/>
      <c r="G9" s="10" t="n"/>
      <c r="H9" s="10" t="n"/>
      <c r="J9" s="10" t="n"/>
      <c r="K9" s="10" t="n"/>
      <c r="M9" s="10" t="n"/>
      <c r="N9" s="10" t="n"/>
      <c r="P9" s="10" t="n"/>
      <c r="Q9" s="10" t="n"/>
      <c r="S9" s="10" t="n"/>
      <c r="T9" s="10" t="n"/>
      <c r="V9" s="11">
        <f>IFERROR(D9+G9+J9+M9+P9+S9,"")</f>
        <v/>
      </c>
      <c r="W9" s="11">
        <f>IFERROR(E9+H9+K9+N9+Q9+T9,"")</f>
        <v/>
      </c>
    </row>
    <row r="10">
      <c r="A10" s="14" t="inlineStr"/>
      <c r="B10" s="15" t="inlineStr">
        <is>
          <t>Выручка всего</t>
        </is>
      </c>
      <c r="C10" s="16" t="inlineStr">
        <is>
          <t>финансы</t>
        </is>
      </c>
      <c r="D10" s="17">
        <f>IFERROR(D9,"")</f>
        <v/>
      </c>
      <c r="E10" s="17">
        <f>IFERROR(E9,"")</f>
        <v/>
      </c>
      <c r="F10" s="18">
        <f>IFERROR(E10/E10,"")</f>
        <v/>
      </c>
      <c r="G10" s="17">
        <f>IFERROR(G9,"")</f>
        <v/>
      </c>
      <c r="H10" s="17">
        <f>IFERROR(H9,"")</f>
        <v/>
      </c>
      <c r="I10" s="18">
        <f>IFERROR(H10/H10,"")</f>
        <v/>
      </c>
      <c r="J10" s="17">
        <f>IFERROR(J9,"")</f>
        <v/>
      </c>
      <c r="K10" s="17">
        <f>IFERROR(K9,"")</f>
        <v/>
      </c>
      <c r="L10" s="18">
        <f>IFERROR(K10/K10,"")</f>
        <v/>
      </c>
      <c r="M10" s="17">
        <f>IFERROR(M9,"")</f>
        <v/>
      </c>
      <c r="N10" s="17">
        <f>IFERROR(N9,"")</f>
        <v/>
      </c>
      <c r="O10" s="18">
        <f>IFERROR(N10/N10,"")</f>
        <v/>
      </c>
      <c r="P10" s="17">
        <f>IFERROR(P9,"")</f>
        <v/>
      </c>
      <c r="Q10" s="17">
        <f>IFERROR(Q9,"")</f>
        <v/>
      </c>
      <c r="R10" s="18">
        <f>IFERROR(Q10/Q10,"")</f>
        <v/>
      </c>
      <c r="S10" s="17">
        <f>IFERROR(S9,"")</f>
        <v/>
      </c>
      <c r="T10" s="17">
        <f>IFERROR(T9,"")</f>
        <v/>
      </c>
      <c r="U10" s="18">
        <f>IFERROR(T10/T10,"")</f>
        <v/>
      </c>
      <c r="V10" s="19">
        <f>IFERROR(V9,"")</f>
        <v/>
      </c>
      <c r="W10" s="19">
        <f>IFERROR(W9,"")</f>
        <v/>
      </c>
      <c r="X10" s="18">
        <f>IFERROR(W10/W10,"")</f>
        <v/>
      </c>
    </row>
    <row r="11">
      <c r="A11" s="20" t="inlineStr"/>
      <c r="B11" s="21" t="inlineStr">
        <is>
          <t>Расходы всего</t>
        </is>
      </c>
      <c r="C11" s="22" t="inlineStr">
        <is>
          <t>финансы</t>
        </is>
      </c>
      <c r="D11" s="23">
        <f>IFERROR(SUM(D12:D18),"")</f>
        <v/>
      </c>
      <c r="E11" s="23">
        <f>IFERROR(SUM(E12:E18),"")</f>
        <v/>
      </c>
      <c r="F11" s="24">
        <f>IFERROR(E11/E10,"")</f>
        <v/>
      </c>
      <c r="G11" s="23">
        <f>IFERROR(SUM(G12:G18),"")</f>
        <v/>
      </c>
      <c r="H11" s="23">
        <f>IFERROR(SUM(H12:H18),"")</f>
        <v/>
      </c>
      <c r="I11" s="24">
        <f>IFERROR(H11/H10,"")</f>
        <v/>
      </c>
      <c r="J11" s="23">
        <f>IFERROR(SUM(J12:J18),"")</f>
        <v/>
      </c>
      <c r="K11" s="23">
        <f>IFERROR(SUM(K12:K18),"")</f>
        <v/>
      </c>
      <c r="L11" s="24">
        <f>IFERROR(K11/K10,"")</f>
        <v/>
      </c>
      <c r="M11" s="23">
        <f>IFERROR(SUM(M12:M18),"")</f>
        <v/>
      </c>
      <c r="N11" s="23">
        <f>IFERROR(SUM(N12:N18),"")</f>
        <v/>
      </c>
      <c r="O11" s="24">
        <f>IFERROR(N11/N10,"")</f>
        <v/>
      </c>
      <c r="P11" s="23">
        <f>IFERROR(SUM(P12:P18),"")</f>
        <v/>
      </c>
      <c r="Q11" s="23">
        <f>IFERROR(SUM(Q12:Q18),"")</f>
        <v/>
      </c>
      <c r="R11" s="24">
        <f>IFERROR(Q11/Q10,"")</f>
        <v/>
      </c>
      <c r="S11" s="23">
        <f>IFERROR(SUM(S12:S18),"")</f>
        <v/>
      </c>
      <c r="T11" s="23">
        <f>IFERROR(SUM(T12:T18),"")</f>
        <v/>
      </c>
      <c r="U11" s="24">
        <f>IFERROR(T11/T10,"")</f>
        <v/>
      </c>
      <c r="V11" s="25">
        <f>IFERROR(SUM(V12:V18),"")</f>
        <v/>
      </c>
      <c r="W11" s="25">
        <f>IFERROR(SUM(W12:W18),"")</f>
        <v/>
      </c>
      <c r="X11" s="26">
        <f>IFERROR(W11/W10,"")</f>
        <v/>
      </c>
    </row>
    <row r="12">
      <c r="A12" s="27" t="inlineStr">
        <is>
          <t>M</t>
        </is>
      </c>
      <c r="B12" s="8" t="inlineStr">
        <is>
          <t>Маркетинг РБ (рекламный бюджет)</t>
        </is>
      </c>
      <c r="C12" s="9" t="inlineStr">
        <is>
          <t>маркетинг</t>
        </is>
      </c>
      <c r="D12" s="10" t="n"/>
      <c r="E12" s="10" t="n"/>
      <c r="F12" s="13">
        <f>IFERROR(E12/E10,"")</f>
        <v/>
      </c>
      <c r="G12" s="10" t="n"/>
      <c r="H12" s="10" t="n"/>
      <c r="I12" s="13">
        <f>IFERROR(H12/H10,"")</f>
        <v/>
      </c>
      <c r="J12" s="10" t="n"/>
      <c r="K12" s="10" t="n"/>
      <c r="L12" s="13">
        <f>IFERROR(K12/K10,"")</f>
        <v/>
      </c>
      <c r="M12" s="10" t="n"/>
      <c r="N12" s="10" t="n"/>
      <c r="O12" s="13">
        <f>IFERROR(N12/N10,"")</f>
        <v/>
      </c>
      <c r="P12" s="10" t="n"/>
      <c r="Q12" s="10" t="n"/>
      <c r="R12" s="13">
        <f>IFERROR(Q12/Q10,"")</f>
        <v/>
      </c>
      <c r="S12" s="10" t="n"/>
      <c r="T12" s="10" t="n"/>
      <c r="U12" s="13">
        <f>IFERROR(T12/T10,"")</f>
        <v/>
      </c>
      <c r="V12" s="11">
        <f>IFERROR(D12+G12+J12+M12+P12+S12,"")</f>
        <v/>
      </c>
      <c r="W12" s="11">
        <f>IFERROR(E12+H12+K12+N12+Q12+T12,"")</f>
        <v/>
      </c>
      <c r="X12" s="13">
        <f>IFERROR(W12/W10,"")</f>
        <v/>
      </c>
    </row>
    <row r="13">
      <c r="A13" s="27" t="inlineStr">
        <is>
          <t>M</t>
        </is>
      </c>
      <c r="B13" s="8" t="inlineStr">
        <is>
          <t>ФОТ Платформа (разработка, маркетинг, владелец, Саша, Вадим)</t>
        </is>
      </c>
      <c r="C13" s="9" t="inlineStr">
        <is>
          <t>операционка</t>
        </is>
      </c>
      <c r="D13" s="10" t="n"/>
      <c r="E13" s="10" t="n"/>
      <c r="F13" s="13">
        <f>IFERROR(E13/E10,"")</f>
        <v/>
      </c>
      <c r="G13" s="10" t="n"/>
      <c r="H13" s="10" t="n"/>
      <c r="I13" s="13">
        <f>IFERROR(H13/H10,"")</f>
        <v/>
      </c>
      <c r="J13" s="10" t="n"/>
      <c r="K13" s="10" t="n"/>
      <c r="L13" s="13">
        <f>IFERROR(K13/K10,"")</f>
        <v/>
      </c>
      <c r="M13" s="10" t="n"/>
      <c r="N13" s="10" t="n"/>
      <c r="O13" s="13">
        <f>IFERROR(N13/N10,"")</f>
        <v/>
      </c>
      <c r="P13" s="10" t="n"/>
      <c r="Q13" s="10" t="n"/>
      <c r="R13" s="13">
        <f>IFERROR(Q13/Q10,"")</f>
        <v/>
      </c>
      <c r="S13" s="10" t="n"/>
      <c r="T13" s="10" t="n"/>
      <c r="U13" s="13">
        <f>IFERROR(T13/T10,"")</f>
        <v/>
      </c>
      <c r="V13" s="11">
        <f>IFERROR(D13+G13+J13+M13+P13+S13,"")</f>
        <v/>
      </c>
      <c r="W13" s="11">
        <f>IFERROR(E13+H13+K13+N13+Q13+T13,"")</f>
        <v/>
      </c>
      <c r="X13" s="13">
        <f>IFERROR(W13/W10,"")</f>
        <v/>
      </c>
    </row>
    <row r="14">
      <c r="A14" s="27" t="inlineStr">
        <is>
          <t>M</t>
        </is>
      </c>
      <c r="B14" s="8" t="inlineStr">
        <is>
          <t>Инструменты/Сервисы (GetCourse, хостинг, аналитика)</t>
        </is>
      </c>
      <c r="C14" s="9" t="inlineStr">
        <is>
          <t>маркетинг</t>
        </is>
      </c>
      <c r="D14" s="10" t="n"/>
      <c r="E14" s="10" t="n"/>
      <c r="F14" s="13">
        <f>IFERROR(E14/E10,"")</f>
        <v/>
      </c>
      <c r="G14" s="10" t="n"/>
      <c r="H14" s="10" t="n"/>
      <c r="I14" s="13">
        <f>IFERROR(H14/H10,"")</f>
        <v/>
      </c>
      <c r="J14" s="10" t="n"/>
      <c r="K14" s="10" t="n"/>
      <c r="L14" s="13">
        <f>IFERROR(K14/K10,"")</f>
        <v/>
      </c>
      <c r="M14" s="10" t="n"/>
      <c r="N14" s="10" t="n"/>
      <c r="O14" s="13">
        <f>IFERROR(N14/N10,"")</f>
        <v/>
      </c>
      <c r="P14" s="10" t="n"/>
      <c r="Q14" s="10" t="n"/>
      <c r="R14" s="13">
        <f>IFERROR(Q14/Q10,"")</f>
        <v/>
      </c>
      <c r="S14" s="10" t="n"/>
      <c r="T14" s="10" t="n"/>
      <c r="U14" s="13">
        <f>IFERROR(T14/T10,"")</f>
        <v/>
      </c>
      <c r="V14" s="11">
        <f>IFERROR(D14+G14+J14+M14+P14+S14,"")</f>
        <v/>
      </c>
      <c r="W14" s="11">
        <f>IFERROR(E14+H14+K14+N14+Q14+T14,"")</f>
        <v/>
      </c>
      <c r="X14" s="13">
        <f>IFERROR(W14/W10,"")</f>
        <v/>
      </c>
    </row>
    <row r="15">
      <c r="A15" s="27" t="inlineStr">
        <is>
          <t>Pr</t>
        </is>
      </c>
      <c r="B15" s="8" t="inlineStr">
        <is>
          <t>AI-стоимость (генерация отчётов)</t>
        </is>
      </c>
      <c r="C15" s="9" t="inlineStr">
        <is>
          <t>разработка</t>
        </is>
      </c>
      <c r="D15" s="10" t="n"/>
      <c r="E15" s="10" t="n"/>
      <c r="F15" s="13">
        <f>IFERROR(E15/E10,"")</f>
        <v/>
      </c>
      <c r="G15" s="10" t="n"/>
      <c r="H15" s="10" t="n"/>
      <c r="I15" s="13">
        <f>IFERROR(H15/H10,"")</f>
        <v/>
      </c>
      <c r="J15" s="10" t="n"/>
      <c r="K15" s="10" t="n"/>
      <c r="L15" s="13">
        <f>IFERROR(K15/K10,"")</f>
        <v/>
      </c>
      <c r="M15" s="10" t="n"/>
      <c r="N15" s="10" t="n"/>
      <c r="O15" s="13">
        <f>IFERROR(N15/N10,"")</f>
        <v/>
      </c>
      <c r="P15" s="10" t="n"/>
      <c r="Q15" s="10" t="n"/>
      <c r="R15" s="13">
        <f>IFERROR(Q15/Q10,"")</f>
        <v/>
      </c>
      <c r="S15" s="10" t="n"/>
      <c r="T15" s="10" t="n"/>
      <c r="U15" s="13">
        <f>IFERROR(T15/T10,"")</f>
        <v/>
      </c>
      <c r="V15" s="11">
        <f>IFERROR(D15+G15+J15+M15+P15+S15,"")</f>
        <v/>
      </c>
      <c r="W15" s="11">
        <f>IFERROR(E15+H15+K15+N15+Q15+T15,"")</f>
        <v/>
      </c>
      <c r="X15" s="13">
        <f>IFERROR(W15/W10,"")</f>
        <v/>
      </c>
    </row>
    <row r="16">
      <c r="A16" s="27" t="inlineStr">
        <is>
          <t>Pr</t>
        </is>
      </c>
      <c r="B16" s="8" t="inlineStr">
        <is>
          <t>Себестоимость (инфраструктура/хостинг перем.)</t>
        </is>
      </c>
      <c r="C16" s="9" t="inlineStr">
        <is>
          <t>разработка</t>
        </is>
      </c>
      <c r="D16" s="10" t="n"/>
      <c r="E16" s="10" t="n"/>
      <c r="F16" s="13">
        <f>IFERROR(E16/E10,"")</f>
        <v/>
      </c>
      <c r="G16" s="10" t="n"/>
      <c r="H16" s="10" t="n"/>
      <c r="I16" s="13">
        <f>IFERROR(H16/H10,"")</f>
        <v/>
      </c>
      <c r="J16" s="10" t="n"/>
      <c r="K16" s="10" t="n"/>
      <c r="L16" s="13">
        <f>IFERROR(K16/K10,"")</f>
        <v/>
      </c>
      <c r="M16" s="10" t="n"/>
      <c r="N16" s="10" t="n"/>
      <c r="O16" s="13">
        <f>IFERROR(N16/N10,"")</f>
        <v/>
      </c>
      <c r="P16" s="10" t="n"/>
      <c r="Q16" s="10" t="n"/>
      <c r="R16" s="13">
        <f>IFERROR(Q16/Q10,"")</f>
        <v/>
      </c>
      <c r="S16" s="10" t="n"/>
      <c r="T16" s="10" t="n"/>
      <c r="U16" s="13">
        <f>IFERROR(T16/T10,"")</f>
        <v/>
      </c>
      <c r="V16" s="11">
        <f>IFERROR(D16+G16+J16+M16+P16+S16,"")</f>
        <v/>
      </c>
      <c r="W16" s="11">
        <f>IFERROR(E16+H16+K16+N16+Q16+T16,"")</f>
        <v/>
      </c>
      <c r="X16" s="13">
        <f>IFERROR(W16/W10,"")</f>
        <v/>
      </c>
    </row>
    <row r="17">
      <c r="A17" s="27" t="inlineStr">
        <is>
          <t>A</t>
        </is>
      </c>
      <c r="B17" s="8" t="inlineStr">
        <is>
          <t>Эквайринг (Робокасса 10%)</t>
        </is>
      </c>
      <c r="C17" s="9" t="inlineStr">
        <is>
          <t>финансы</t>
        </is>
      </c>
      <c r="D17" s="11">
        <f>IFERROR(D10*0.1,"")</f>
        <v/>
      </c>
      <c r="E17" s="11">
        <f>IFERROR(E10*0.1,"")</f>
        <v/>
      </c>
      <c r="F17" s="13">
        <f>IFERROR(E17/E10,"")</f>
        <v/>
      </c>
      <c r="G17" s="11">
        <f>IFERROR(G10*0.1,"")</f>
        <v/>
      </c>
      <c r="H17" s="11">
        <f>IFERROR(H10*0.1,"")</f>
        <v/>
      </c>
      <c r="I17" s="13">
        <f>IFERROR(H17/H10,"")</f>
        <v/>
      </c>
      <c r="J17" s="11">
        <f>IFERROR(J10*0.1,"")</f>
        <v/>
      </c>
      <c r="K17" s="11">
        <f>IFERROR(K10*0.1,"")</f>
        <v/>
      </c>
      <c r="L17" s="13">
        <f>IFERROR(K17/K10,"")</f>
        <v/>
      </c>
      <c r="M17" s="11">
        <f>IFERROR(M10*0.1,"")</f>
        <v/>
      </c>
      <c r="N17" s="11">
        <f>IFERROR(N10*0.1,"")</f>
        <v/>
      </c>
      <c r="O17" s="13">
        <f>IFERROR(N17/N10,"")</f>
        <v/>
      </c>
      <c r="P17" s="11">
        <f>IFERROR(P10*0.1,"")</f>
        <v/>
      </c>
      <c r="Q17" s="11">
        <f>IFERROR(Q10*0.1,"")</f>
        <v/>
      </c>
      <c r="R17" s="13">
        <f>IFERROR(Q17/Q10,"")</f>
        <v/>
      </c>
      <c r="S17" s="11">
        <f>IFERROR(S10*0.1,"")</f>
        <v/>
      </c>
      <c r="T17" s="11">
        <f>IFERROR(T10*0.1,"")</f>
        <v/>
      </c>
      <c r="U17" s="13">
        <f>IFERROR(T17/T10,"")</f>
        <v/>
      </c>
      <c r="V17" s="11">
        <f>IFERROR(V10*0.1,"")</f>
        <v/>
      </c>
      <c r="W17" s="11">
        <f>IFERROR(W10*0.1,"")</f>
        <v/>
      </c>
      <c r="X17" s="13">
        <f>IFERROR(W17/W10,"")</f>
        <v/>
      </c>
    </row>
    <row r="18">
      <c r="A18" s="27" t="inlineStr">
        <is>
          <t>A</t>
        </is>
      </c>
      <c r="B18" s="8" t="inlineStr">
        <is>
          <t>Административные</t>
        </is>
      </c>
      <c r="C18" s="9" t="inlineStr">
        <is>
          <t>финансы</t>
        </is>
      </c>
      <c r="D18" s="10" t="n"/>
      <c r="E18" s="10" t="n"/>
      <c r="F18" s="13">
        <f>IFERROR(E18/E10,"")</f>
        <v/>
      </c>
      <c r="G18" s="10" t="n"/>
      <c r="H18" s="10" t="n"/>
      <c r="I18" s="13">
        <f>IFERROR(H18/H10,"")</f>
        <v/>
      </c>
      <c r="J18" s="10" t="n"/>
      <c r="K18" s="10" t="n"/>
      <c r="L18" s="13">
        <f>IFERROR(K18/K10,"")</f>
        <v/>
      </c>
      <c r="M18" s="10" t="n"/>
      <c r="N18" s="10" t="n"/>
      <c r="O18" s="13">
        <f>IFERROR(N18/N10,"")</f>
        <v/>
      </c>
      <c r="P18" s="10" t="n"/>
      <c r="Q18" s="10" t="n"/>
      <c r="R18" s="13">
        <f>IFERROR(Q18/Q10,"")</f>
        <v/>
      </c>
      <c r="S18" s="10" t="n"/>
      <c r="T18" s="10" t="n"/>
      <c r="U18" s="13">
        <f>IFERROR(T18/T10,"")</f>
        <v/>
      </c>
      <c r="V18" s="11">
        <f>IFERROR(D18+G18+J18+M18+P18+S18,"")</f>
        <v/>
      </c>
      <c r="W18" s="11">
        <f>IFERROR(E18+H18+K18+N18+Q18+T18,"")</f>
        <v/>
      </c>
      <c r="X18" s="13">
        <f>IFERROR(W18/W10,"")</f>
        <v/>
      </c>
    </row>
    <row r="19">
      <c r="A19" s="14" t="inlineStr"/>
      <c r="B19" s="15" t="inlineStr">
        <is>
          <t>Маржинальная прибыль</t>
        </is>
      </c>
      <c r="C19" s="16" t="inlineStr">
        <is>
          <t>финансы</t>
        </is>
      </c>
      <c r="D19" s="17">
        <f>IFERROR(D10-D11,"")</f>
        <v/>
      </c>
      <c r="E19" s="17">
        <f>IFERROR(E10-E11,"")</f>
        <v/>
      </c>
      <c r="F19" s="18">
        <f>IFERROR(E19/E10,"")</f>
        <v/>
      </c>
      <c r="G19" s="17">
        <f>IFERROR(G10-G11,"")</f>
        <v/>
      </c>
      <c r="H19" s="17">
        <f>IFERROR(H10-H11,"")</f>
        <v/>
      </c>
      <c r="I19" s="18">
        <f>IFERROR(H19/H10,"")</f>
        <v/>
      </c>
      <c r="J19" s="17">
        <f>IFERROR(J10-J11,"")</f>
        <v/>
      </c>
      <c r="K19" s="17">
        <f>IFERROR(K10-K11,"")</f>
        <v/>
      </c>
      <c r="L19" s="18">
        <f>IFERROR(K19/K10,"")</f>
        <v/>
      </c>
      <c r="M19" s="17">
        <f>IFERROR(M10-M11,"")</f>
        <v/>
      </c>
      <c r="N19" s="17">
        <f>IFERROR(N10-N11,"")</f>
        <v/>
      </c>
      <c r="O19" s="18">
        <f>IFERROR(N19/N10,"")</f>
        <v/>
      </c>
      <c r="P19" s="17">
        <f>IFERROR(P10-P11,"")</f>
        <v/>
      </c>
      <c r="Q19" s="17">
        <f>IFERROR(Q10-Q11,"")</f>
        <v/>
      </c>
      <c r="R19" s="18">
        <f>IFERROR(Q19/Q10,"")</f>
        <v/>
      </c>
      <c r="S19" s="17">
        <f>IFERROR(S10-S11,"")</f>
        <v/>
      </c>
      <c r="T19" s="17">
        <f>IFERROR(T10-T11,"")</f>
        <v/>
      </c>
      <c r="U19" s="18">
        <f>IFERROR(T19/T10,"")</f>
        <v/>
      </c>
      <c r="V19" s="19">
        <f>IFERROR(V10-V11,"")</f>
        <v/>
      </c>
      <c r="W19" s="19">
        <f>IFERROR(W10-W11,"")</f>
        <v/>
      </c>
      <c r="X19" s="18">
        <f>IFERROR(W19/W10,"")</f>
        <v/>
      </c>
    </row>
    <row r="20">
      <c r="A20" s="12" t="inlineStr"/>
      <c r="B20" s="8" t="inlineStr">
        <is>
          <t>Выручка с 1 оплаты</t>
        </is>
      </c>
      <c r="C20" s="9" t="inlineStr">
        <is>
          <t>финансы</t>
        </is>
      </c>
      <c r="D20" s="11">
        <f>IFERROR(D10/D7,"")</f>
        <v/>
      </c>
      <c r="E20" s="11">
        <f>IFERROR(E10/E7,"")</f>
        <v/>
      </c>
      <c r="G20" s="11">
        <f>IFERROR(G10/G7,"")</f>
        <v/>
      </c>
      <c r="H20" s="11">
        <f>IFERROR(H10/H7,"")</f>
        <v/>
      </c>
      <c r="J20" s="11">
        <f>IFERROR(J10/J7,"")</f>
        <v/>
      </c>
      <c r="K20" s="11">
        <f>IFERROR(K10/K7,"")</f>
        <v/>
      </c>
      <c r="M20" s="11">
        <f>IFERROR(M10/M7,"")</f>
        <v/>
      </c>
      <c r="N20" s="11">
        <f>IFERROR(N10/N7,"")</f>
        <v/>
      </c>
      <c r="P20" s="11">
        <f>IFERROR(P10/P7,"")</f>
        <v/>
      </c>
      <c r="Q20" s="11">
        <f>IFERROR(Q10/Q7,"")</f>
        <v/>
      </c>
      <c r="S20" s="11">
        <f>IFERROR(S10/S7,"")</f>
        <v/>
      </c>
      <c r="T20" s="11">
        <f>IFERROR(T10/T7,"")</f>
        <v/>
      </c>
      <c r="V20" s="11">
        <f>IFERROR(V10/V7,"")</f>
        <v/>
      </c>
      <c r="W20" s="11">
        <f>IFERROR(W10/W7,"")</f>
        <v/>
      </c>
    </row>
    <row r="21">
      <c r="A21" s="12" t="inlineStr"/>
      <c r="B21" s="8" t="inlineStr">
        <is>
          <t>Расходы на 1 оплату</t>
        </is>
      </c>
      <c r="C21" s="9" t="inlineStr">
        <is>
          <t>финансы</t>
        </is>
      </c>
      <c r="D21" s="11">
        <f>IFERROR(D11/D7,"")</f>
        <v/>
      </c>
      <c r="E21" s="11">
        <f>IFERROR(E11/E7,"")</f>
        <v/>
      </c>
      <c r="G21" s="11">
        <f>IFERROR(G11/G7,"")</f>
        <v/>
      </c>
      <c r="H21" s="11">
        <f>IFERROR(H11/H7,"")</f>
        <v/>
      </c>
      <c r="J21" s="11">
        <f>IFERROR(J11/J7,"")</f>
        <v/>
      </c>
      <c r="K21" s="11">
        <f>IFERROR(K11/K7,"")</f>
        <v/>
      </c>
      <c r="M21" s="11">
        <f>IFERROR(M11/M7,"")</f>
        <v/>
      </c>
      <c r="N21" s="11">
        <f>IFERROR(N11/N7,"")</f>
        <v/>
      </c>
      <c r="P21" s="11">
        <f>IFERROR(P11/P7,"")</f>
        <v/>
      </c>
      <c r="Q21" s="11">
        <f>IFERROR(Q11/Q7,"")</f>
        <v/>
      </c>
      <c r="S21" s="11">
        <f>IFERROR(S11/S7,"")</f>
        <v/>
      </c>
      <c r="T21" s="11">
        <f>IFERROR(T11/T7,"")</f>
        <v/>
      </c>
      <c r="V21" s="11">
        <f>IFERROR(V11/V7,"")</f>
        <v/>
      </c>
      <c r="W21" s="11">
        <f>IFERROR(W11/W7,"")</f>
        <v/>
      </c>
    </row>
    <row r="22">
      <c r="A22" s="12" t="inlineStr"/>
      <c r="B22" s="8" t="inlineStr">
        <is>
          <t>Маржинальная прибыль на 1 оплату</t>
        </is>
      </c>
      <c r="C22" s="9" t="inlineStr">
        <is>
          <t>финансы</t>
        </is>
      </c>
      <c r="D22" s="11">
        <f>IFERROR(D19/D7,"")</f>
        <v/>
      </c>
      <c r="E22" s="11">
        <f>IFERROR(E19/E7,"")</f>
        <v/>
      </c>
      <c r="G22" s="11">
        <f>IFERROR(G19/G7,"")</f>
        <v/>
      </c>
      <c r="H22" s="11">
        <f>IFERROR(H19/H7,"")</f>
        <v/>
      </c>
      <c r="J22" s="11">
        <f>IFERROR(J19/J7,"")</f>
        <v/>
      </c>
      <c r="K22" s="11">
        <f>IFERROR(K19/K7,"")</f>
        <v/>
      </c>
      <c r="M22" s="11">
        <f>IFERROR(M19/M7,"")</f>
        <v/>
      </c>
      <c r="N22" s="11">
        <f>IFERROR(N19/N7,"")</f>
        <v/>
      </c>
      <c r="P22" s="11">
        <f>IFERROR(P19/P7,"")</f>
        <v/>
      </c>
      <c r="Q22" s="11">
        <f>IFERROR(Q19/Q7,"")</f>
        <v/>
      </c>
      <c r="S22" s="11">
        <f>IFERROR(S19/S7,"")</f>
        <v/>
      </c>
      <c r="T22" s="11">
        <f>IFERROR(T19/T7,"")</f>
        <v/>
      </c>
      <c r="V22" s="11">
        <f>IFERROR(V19/V7,"")</f>
        <v/>
      </c>
      <c r="W22" s="11">
        <f>IFERROR(W19/W7,"")</f>
        <v/>
      </c>
    </row>
    <row r="23">
      <c r="A23" s="12" t="inlineStr"/>
      <c r="B23" s="8" t="inlineStr">
        <is>
          <t>Маржинальность оплаты</t>
        </is>
      </c>
      <c r="C23" s="9" t="inlineStr">
        <is>
          <t>финансы</t>
        </is>
      </c>
      <c r="D23" s="13">
        <f>IFERROR((D20-D21)/D20,"")</f>
        <v/>
      </c>
      <c r="E23" s="13">
        <f>IFERROR((E20-E21)/E20,"")</f>
        <v/>
      </c>
      <c r="G23" s="13">
        <f>IFERROR((G20-G21)/G20,"")</f>
        <v/>
      </c>
      <c r="H23" s="13">
        <f>IFERROR((H20-H21)/H20,"")</f>
        <v/>
      </c>
      <c r="J23" s="13">
        <f>IFERROR((J20-J21)/J20,"")</f>
        <v/>
      </c>
      <c r="K23" s="13">
        <f>IFERROR((K20-K21)/K20,"")</f>
        <v/>
      </c>
      <c r="M23" s="13">
        <f>IFERROR((M20-M21)/M20,"")</f>
        <v/>
      </c>
      <c r="N23" s="13">
        <f>IFERROR((N20-N21)/N20,"")</f>
        <v/>
      </c>
      <c r="P23" s="13">
        <f>IFERROR((P20-P21)/P20,"")</f>
        <v/>
      </c>
      <c r="Q23" s="13">
        <f>IFERROR((Q20-Q21)/Q20,"")</f>
        <v/>
      </c>
      <c r="S23" s="13">
        <f>IFERROR((S20-S21)/S20,"")</f>
        <v/>
      </c>
      <c r="T23" s="13">
        <f>IFERROR((T20-T21)/T20,"")</f>
        <v/>
      </c>
      <c r="V23" s="13">
        <f>IFERROR((V20-V21)/V20,"")</f>
        <v/>
      </c>
      <c r="W23" s="13">
        <f>IFERROR((W20-W21)/W20,"")</f>
        <v/>
      </c>
    </row>
  </sheetData>
  <mergeCells count="8">
    <mergeCell ref="D2:F2"/>
    <mergeCell ref="G2:I2"/>
    <mergeCell ref="J2:L2"/>
    <mergeCell ref="P2:R2"/>
    <mergeCell ref="A1:X1"/>
    <mergeCell ref="M2:O2"/>
    <mergeCell ref="S2:U2"/>
    <mergeCell ref="V2:X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MainExperts · P&amp;L · Поток-1 (агентство / личные продажи, 2 менеджера) · ₽ · белое — ввод, серое — авто</t>
        </is>
      </c>
    </row>
    <row r="2">
      <c r="A2" s="2" t="n"/>
      <c r="B2" s="2" t="n"/>
      <c r="C2" s="2" t="n"/>
      <c r="D2" s="3" t="inlineStr">
        <is>
          <t>июл.26</t>
        </is>
      </c>
      <c r="G2" s="3" t="inlineStr">
        <is>
          <t>авг.26</t>
        </is>
      </c>
      <c r="J2" s="3" t="inlineStr">
        <is>
          <t>сен.26</t>
        </is>
      </c>
      <c r="M2" s="3" t="inlineStr">
        <is>
          <t>окт.26</t>
        </is>
      </c>
      <c r="P2" s="3" t="inlineStr">
        <is>
          <t>ноя.26</t>
        </is>
      </c>
      <c r="S2" s="3" t="inlineStr">
        <is>
          <t>дек.26</t>
        </is>
      </c>
      <c r="V2" s="3" t="inlineStr">
        <is>
          <t>Год</t>
        </is>
      </c>
    </row>
    <row r="3">
      <c r="A3" s="4" t="inlineStr">
        <is>
          <t>Код</t>
        </is>
      </c>
      <c r="B3" s="4" t="inlineStr">
        <is>
          <t>Статья / метрика</t>
        </is>
      </c>
      <c r="C3" s="4" t="inlineStr">
        <is>
          <t>Направление</t>
        </is>
      </c>
      <c r="D3" s="5" t="inlineStr">
        <is>
          <t>План</t>
        </is>
      </c>
      <c r="E3" s="5" t="inlineStr">
        <is>
          <t>Факт</t>
        </is>
      </c>
      <c r="F3" s="5" t="inlineStr">
        <is>
          <t>%</t>
        </is>
      </c>
      <c r="G3" s="5" t="inlineStr">
        <is>
          <t>План</t>
        </is>
      </c>
      <c r="H3" s="5" t="inlineStr">
        <is>
          <t>Факт</t>
        </is>
      </c>
      <c r="I3" s="5" t="inlineStr">
        <is>
          <t>%</t>
        </is>
      </c>
      <c r="J3" s="5" t="inlineStr">
        <is>
          <t>План</t>
        </is>
      </c>
      <c r="K3" s="5" t="inlineStr">
        <is>
          <t>Факт</t>
        </is>
      </c>
      <c r="L3" s="5" t="inlineStr">
        <is>
          <t>%</t>
        </is>
      </c>
      <c r="M3" s="5" t="inlineStr">
        <is>
          <t>План</t>
        </is>
      </c>
      <c r="N3" s="5" t="inlineStr">
        <is>
          <t>Факт</t>
        </is>
      </c>
      <c r="O3" s="5" t="inlineStr">
        <is>
          <t>%</t>
        </is>
      </c>
      <c r="P3" s="5" t="inlineStr">
        <is>
          <t>План</t>
        </is>
      </c>
      <c r="Q3" s="5" t="inlineStr">
        <is>
          <t>Факт</t>
        </is>
      </c>
      <c r="R3" s="5" t="inlineStr">
        <is>
          <t>%</t>
        </is>
      </c>
      <c r="S3" s="5" t="inlineStr">
        <is>
          <t>План</t>
        </is>
      </c>
      <c r="T3" s="5" t="inlineStr">
        <is>
          <t>Факт</t>
        </is>
      </c>
      <c r="U3" s="5" t="inlineStr">
        <is>
          <t>%</t>
        </is>
      </c>
      <c r="V3" s="6" t="inlineStr">
        <is>
          <t>План</t>
        </is>
      </c>
      <c r="W3" s="6" t="inlineStr">
        <is>
          <t>Факт</t>
        </is>
      </c>
      <c r="X3" s="6" t="inlineStr">
        <is>
          <t>%</t>
        </is>
      </c>
    </row>
    <row r="4">
      <c r="A4" s="28" t="inlineStr"/>
      <c r="B4" s="8" t="inlineStr">
        <is>
          <t>Кол-во входящих лидов</t>
        </is>
      </c>
      <c r="C4" s="9" t="inlineStr">
        <is>
          <t>продажи</t>
        </is>
      </c>
      <c r="D4" s="10" t="n"/>
      <c r="E4" s="10" t="n"/>
      <c r="G4" s="10" t="n"/>
      <c r="H4" s="10" t="n"/>
      <c r="J4" s="10" t="n"/>
      <c r="K4" s="10" t="n"/>
      <c r="M4" s="10" t="n"/>
      <c r="N4" s="10" t="n"/>
      <c r="P4" s="10" t="n"/>
      <c r="Q4" s="10" t="n"/>
      <c r="S4" s="10" t="n"/>
      <c r="T4" s="10" t="n"/>
      <c r="V4" s="11">
        <f>IFERROR(D4+G4+J4+M4+P4+S4,"")</f>
        <v/>
      </c>
      <c r="W4" s="11">
        <f>IFERROR(E4+H4+K4+N4+Q4+T4,"")</f>
        <v/>
      </c>
    </row>
    <row r="5">
      <c r="A5" s="12" t="inlineStr"/>
      <c r="B5" s="8" t="inlineStr">
        <is>
          <t>Кол-во созвонов</t>
        </is>
      </c>
      <c r="C5" s="9" t="inlineStr">
        <is>
          <t>продажи</t>
        </is>
      </c>
      <c r="D5" s="10" t="n"/>
      <c r="E5" s="10" t="n"/>
      <c r="G5" s="10" t="n"/>
      <c r="H5" s="10" t="n"/>
      <c r="J5" s="10" t="n"/>
      <c r="K5" s="10" t="n"/>
      <c r="M5" s="10" t="n"/>
      <c r="N5" s="10" t="n"/>
      <c r="P5" s="10" t="n"/>
      <c r="Q5" s="10" t="n"/>
      <c r="S5" s="10" t="n"/>
      <c r="T5" s="10" t="n"/>
      <c r="V5" s="11">
        <f>IFERROR(D5+G5+J5+M5+P5+S5,"")</f>
        <v/>
      </c>
      <c r="W5" s="11">
        <f>IFERROR(E5+H5+K5+N5+Q5+T5,"")</f>
        <v/>
      </c>
    </row>
    <row r="6">
      <c r="A6" s="12" t="inlineStr"/>
      <c r="B6" s="8" t="inlineStr">
        <is>
          <t>Конверсия лид→созвон</t>
        </is>
      </c>
      <c r="C6" s="9" t="inlineStr">
        <is>
          <t>продажи</t>
        </is>
      </c>
      <c r="D6" s="13">
        <f>IFERROR(D5/D4,"")</f>
        <v/>
      </c>
      <c r="E6" s="13">
        <f>IFERROR(E5/E4,"")</f>
        <v/>
      </c>
      <c r="G6" s="13">
        <f>IFERROR(G5/G4,"")</f>
        <v/>
      </c>
      <c r="H6" s="13">
        <f>IFERROR(H5/H4,"")</f>
        <v/>
      </c>
      <c r="J6" s="13">
        <f>IFERROR(J5/J4,"")</f>
        <v/>
      </c>
      <c r="K6" s="13">
        <f>IFERROR(K5/K4,"")</f>
        <v/>
      </c>
      <c r="M6" s="13">
        <f>IFERROR(M5/M4,"")</f>
        <v/>
      </c>
      <c r="N6" s="13">
        <f>IFERROR(N5/N4,"")</f>
        <v/>
      </c>
      <c r="P6" s="13">
        <f>IFERROR(P5/P4,"")</f>
        <v/>
      </c>
      <c r="Q6" s="13">
        <f>IFERROR(Q5/Q4,"")</f>
        <v/>
      </c>
      <c r="S6" s="13">
        <f>IFERROR(S5/S4,"")</f>
        <v/>
      </c>
      <c r="T6" s="13">
        <f>IFERROR(T5/T4,"")</f>
        <v/>
      </c>
      <c r="V6" s="13">
        <f>IFERROR(V5/V4,"")</f>
        <v/>
      </c>
      <c r="W6" s="13">
        <f>IFERROR(W5/W4,"")</f>
        <v/>
      </c>
    </row>
    <row r="7">
      <c r="A7" s="12" t="inlineStr"/>
      <c r="B7" s="8" t="inlineStr">
        <is>
          <t>Кол-во оплат</t>
        </is>
      </c>
      <c r="C7" s="9" t="inlineStr">
        <is>
          <t>продажи</t>
        </is>
      </c>
      <c r="D7" s="10" t="n"/>
      <c r="E7" s="10" t="n"/>
      <c r="G7" s="10" t="n"/>
      <c r="H7" s="10" t="n"/>
      <c r="J7" s="10" t="n"/>
      <c r="K7" s="10" t="n"/>
      <c r="M7" s="10" t="n"/>
      <c r="N7" s="10" t="n"/>
      <c r="P7" s="10" t="n"/>
      <c r="Q7" s="10" t="n"/>
      <c r="S7" s="10" t="n"/>
      <c r="T7" s="10" t="n"/>
      <c r="V7" s="11">
        <f>IFERROR(D7+G7+J7+M7+P7+S7,"")</f>
        <v/>
      </c>
      <c r="W7" s="11">
        <f>IFERROR(E7+H7+K7+N7+Q7+T7,"")</f>
        <v/>
      </c>
    </row>
    <row r="8">
      <c r="A8" s="12" t="inlineStr"/>
      <c r="B8" s="8" t="inlineStr">
        <is>
          <t>Конверсия созвон→оплата</t>
        </is>
      </c>
      <c r="C8" s="9" t="inlineStr">
        <is>
          <t>продажи</t>
        </is>
      </c>
      <c r="D8" s="13">
        <f>IFERROR(D7/D5,"")</f>
        <v/>
      </c>
      <c r="E8" s="13">
        <f>IFERROR(E7/E5,"")</f>
        <v/>
      </c>
      <c r="G8" s="13">
        <f>IFERROR(G7/G5,"")</f>
        <v/>
      </c>
      <c r="H8" s="13">
        <f>IFERROR(H7/H5,"")</f>
        <v/>
      </c>
      <c r="J8" s="13">
        <f>IFERROR(J7/J5,"")</f>
        <v/>
      </c>
      <c r="K8" s="13">
        <f>IFERROR(K7/K5,"")</f>
        <v/>
      </c>
      <c r="M8" s="13">
        <f>IFERROR(M7/M5,"")</f>
        <v/>
      </c>
      <c r="N8" s="13">
        <f>IFERROR(N7/N5,"")</f>
        <v/>
      </c>
      <c r="P8" s="13">
        <f>IFERROR(P7/P5,"")</f>
        <v/>
      </c>
      <c r="Q8" s="13">
        <f>IFERROR(Q7/Q5,"")</f>
        <v/>
      </c>
      <c r="S8" s="13">
        <f>IFERROR(S7/S5,"")</f>
        <v/>
      </c>
      <c r="T8" s="13">
        <f>IFERROR(T7/T5,"")</f>
        <v/>
      </c>
      <c r="V8" s="13">
        <f>IFERROR(V7/V5,"")</f>
        <v/>
      </c>
      <c r="W8" s="13">
        <f>IFERROR(W7/W5,"")</f>
        <v/>
      </c>
    </row>
    <row r="9">
      <c r="A9" s="12" t="inlineStr"/>
      <c r="B9" s="8" t="inlineStr">
        <is>
          <t>Средний чек</t>
        </is>
      </c>
      <c r="C9" s="9" t="inlineStr">
        <is>
          <t>продажи</t>
        </is>
      </c>
      <c r="D9" s="11">
        <f>IFERROR(D10/D7,"")</f>
        <v/>
      </c>
      <c r="E9" s="11">
        <f>IFERROR(E10/E7,"")</f>
        <v/>
      </c>
      <c r="G9" s="11">
        <f>IFERROR(G10/G7,"")</f>
        <v/>
      </c>
      <c r="H9" s="11">
        <f>IFERROR(H10/H7,"")</f>
        <v/>
      </c>
      <c r="J9" s="11">
        <f>IFERROR(J10/J7,"")</f>
        <v/>
      </c>
      <c r="K9" s="11">
        <f>IFERROR(K10/K7,"")</f>
        <v/>
      </c>
      <c r="M9" s="11">
        <f>IFERROR(M10/M7,"")</f>
        <v/>
      </c>
      <c r="N9" s="11">
        <f>IFERROR(N10/N7,"")</f>
        <v/>
      </c>
      <c r="P9" s="11">
        <f>IFERROR(P10/P7,"")</f>
        <v/>
      </c>
      <c r="Q9" s="11">
        <f>IFERROR(Q10/Q7,"")</f>
        <v/>
      </c>
      <c r="S9" s="11">
        <f>IFERROR(S10/S7,"")</f>
        <v/>
      </c>
      <c r="T9" s="11">
        <f>IFERROR(T10/T7,"")</f>
        <v/>
      </c>
      <c r="V9" s="11">
        <f>IFERROR(V10/V7,"")</f>
        <v/>
      </c>
      <c r="W9" s="11">
        <f>IFERROR(W10/W7,"")</f>
        <v/>
      </c>
    </row>
    <row r="10">
      <c r="A10" s="14" t="inlineStr"/>
      <c r="B10" s="15" t="inlineStr">
        <is>
          <t>Сумма оплат (выручка)</t>
        </is>
      </c>
      <c r="C10" s="16" t="inlineStr">
        <is>
          <t>финансы</t>
        </is>
      </c>
      <c r="D10" s="17" t="n"/>
      <c r="E10" s="17" t="n"/>
      <c r="F10" s="18">
        <f>IFERROR(E10/E10,"")</f>
        <v/>
      </c>
      <c r="G10" s="17" t="n"/>
      <c r="H10" s="17" t="n"/>
      <c r="I10" s="18">
        <f>IFERROR(H10/H10,"")</f>
        <v/>
      </c>
      <c r="J10" s="17" t="n"/>
      <c r="K10" s="17" t="n"/>
      <c r="L10" s="18">
        <f>IFERROR(K10/K10,"")</f>
        <v/>
      </c>
      <c r="M10" s="17" t="n"/>
      <c r="N10" s="17" t="n"/>
      <c r="O10" s="18">
        <f>IFERROR(N10/N10,"")</f>
        <v/>
      </c>
      <c r="P10" s="17" t="n"/>
      <c r="Q10" s="17" t="n"/>
      <c r="R10" s="18">
        <f>IFERROR(Q10/Q10,"")</f>
        <v/>
      </c>
      <c r="S10" s="17" t="n"/>
      <c r="T10" s="17" t="n"/>
      <c r="U10" s="18">
        <f>IFERROR(T10/T10,"")</f>
        <v/>
      </c>
      <c r="V10" s="19">
        <f>IFERROR(D10+G10+J10+M10+P10+S10,"")</f>
        <v/>
      </c>
      <c r="W10" s="19">
        <f>IFERROR(E10+H10+K10+N10+Q10+T10,"")</f>
        <v/>
      </c>
      <c r="X10" s="18">
        <f>IFERROR(W10/W10,"")</f>
        <v/>
      </c>
    </row>
    <row r="11">
      <c r="A11" s="20" t="inlineStr"/>
      <c r="B11" s="21" t="inlineStr">
        <is>
          <t>Расходы всего</t>
        </is>
      </c>
      <c r="C11" s="22" t="inlineStr">
        <is>
          <t>финансы</t>
        </is>
      </c>
      <c r="D11" s="23">
        <f>IFERROR(SUM(D12:D17),"")</f>
        <v/>
      </c>
      <c r="E11" s="23">
        <f>IFERROR(SUM(E12:E17),"")</f>
        <v/>
      </c>
      <c r="F11" s="24">
        <f>IFERROR(E11/E10,"")</f>
        <v/>
      </c>
      <c r="G11" s="23">
        <f>IFERROR(SUM(G12:G17),"")</f>
        <v/>
      </c>
      <c r="H11" s="23">
        <f>IFERROR(SUM(H12:H17),"")</f>
        <v/>
      </c>
      <c r="I11" s="24">
        <f>IFERROR(H11/H10,"")</f>
        <v/>
      </c>
      <c r="J11" s="23">
        <f>IFERROR(SUM(J12:J17),"")</f>
        <v/>
      </c>
      <c r="K11" s="23">
        <f>IFERROR(SUM(K12:K17),"")</f>
        <v/>
      </c>
      <c r="L11" s="24">
        <f>IFERROR(K11/K10,"")</f>
        <v/>
      </c>
      <c r="M11" s="23">
        <f>IFERROR(SUM(M12:M17),"")</f>
        <v/>
      </c>
      <c r="N11" s="23">
        <f>IFERROR(SUM(N12:N17),"")</f>
        <v/>
      </c>
      <c r="O11" s="24">
        <f>IFERROR(N11/N10,"")</f>
        <v/>
      </c>
      <c r="P11" s="23">
        <f>IFERROR(SUM(P12:P17),"")</f>
        <v/>
      </c>
      <c r="Q11" s="23">
        <f>IFERROR(SUM(Q12:Q17),"")</f>
        <v/>
      </c>
      <c r="R11" s="24">
        <f>IFERROR(Q11/Q10,"")</f>
        <v/>
      </c>
      <c r="S11" s="23">
        <f>IFERROR(SUM(S12:S17),"")</f>
        <v/>
      </c>
      <c r="T11" s="23">
        <f>IFERROR(SUM(T12:T17),"")</f>
        <v/>
      </c>
      <c r="U11" s="24">
        <f>IFERROR(T11/T10,"")</f>
        <v/>
      </c>
      <c r="V11" s="25">
        <f>IFERROR(SUM(V12:V17),"")</f>
        <v/>
      </c>
      <c r="W11" s="25">
        <f>IFERROR(SUM(W12:W17),"")</f>
        <v/>
      </c>
      <c r="X11" s="26">
        <f>IFERROR(W11/W10,"")</f>
        <v/>
      </c>
    </row>
    <row r="12">
      <c r="A12" s="27" t="inlineStr">
        <is>
          <t>M</t>
        </is>
      </c>
      <c r="B12" s="8" t="inlineStr">
        <is>
          <t>Маркетинг / лидогенерация РБ</t>
        </is>
      </c>
      <c r="C12" s="9" t="inlineStr">
        <is>
          <t>маркетинг</t>
        </is>
      </c>
      <c r="D12" s="10" t="n"/>
      <c r="E12" s="10" t="n"/>
      <c r="F12" s="13">
        <f>IFERROR(E12/E10,"")</f>
        <v/>
      </c>
      <c r="G12" s="10" t="n"/>
      <c r="H12" s="10" t="n"/>
      <c r="I12" s="13">
        <f>IFERROR(H12/H10,"")</f>
        <v/>
      </c>
      <c r="J12" s="10" t="n"/>
      <c r="K12" s="10" t="n"/>
      <c r="L12" s="13">
        <f>IFERROR(K12/K10,"")</f>
        <v/>
      </c>
      <c r="M12" s="10" t="n"/>
      <c r="N12" s="10" t="n"/>
      <c r="O12" s="13">
        <f>IFERROR(N12/N10,"")</f>
        <v/>
      </c>
      <c r="P12" s="10" t="n"/>
      <c r="Q12" s="10" t="n"/>
      <c r="R12" s="13">
        <f>IFERROR(Q12/Q10,"")</f>
        <v/>
      </c>
      <c r="S12" s="10" t="n"/>
      <c r="T12" s="10" t="n"/>
      <c r="U12" s="13">
        <f>IFERROR(T12/T10,"")</f>
        <v/>
      </c>
      <c r="V12" s="11">
        <f>IFERROR(D12+G12+J12+M12+P12+S12,"")</f>
        <v/>
      </c>
      <c r="W12" s="11">
        <f>IFERROR(E12+H12+K12+N12+Q12+T12,"")</f>
        <v/>
      </c>
      <c r="X12" s="13">
        <f>IFERROR(W12/W10,"")</f>
        <v/>
      </c>
    </row>
    <row r="13">
      <c r="A13" s="27" t="inlineStr">
        <is>
          <t>M</t>
        </is>
      </c>
      <c r="B13" s="8" t="inlineStr">
        <is>
          <t>ФОТ — Менеджер продаж 1</t>
        </is>
      </c>
      <c r="C13" s="9" t="inlineStr">
        <is>
          <t>продажи</t>
        </is>
      </c>
      <c r="D13" s="10" t="n"/>
      <c r="E13" s="10" t="n"/>
      <c r="F13" s="13">
        <f>IFERROR(E13/E10,"")</f>
        <v/>
      </c>
      <c r="G13" s="10" t="n"/>
      <c r="H13" s="10" t="n"/>
      <c r="I13" s="13">
        <f>IFERROR(H13/H10,"")</f>
        <v/>
      </c>
      <c r="J13" s="10" t="n"/>
      <c r="K13" s="10" t="n"/>
      <c r="L13" s="13">
        <f>IFERROR(K13/K10,"")</f>
        <v/>
      </c>
      <c r="M13" s="10" t="n"/>
      <c r="N13" s="10" t="n"/>
      <c r="O13" s="13">
        <f>IFERROR(N13/N10,"")</f>
        <v/>
      </c>
      <c r="P13" s="10" t="n"/>
      <c r="Q13" s="10" t="n"/>
      <c r="R13" s="13">
        <f>IFERROR(Q13/Q10,"")</f>
        <v/>
      </c>
      <c r="S13" s="10" t="n"/>
      <c r="T13" s="10" t="n"/>
      <c r="U13" s="13">
        <f>IFERROR(T13/T10,"")</f>
        <v/>
      </c>
      <c r="V13" s="11">
        <f>IFERROR(D13+G13+J13+M13+P13+S13,"")</f>
        <v/>
      </c>
      <c r="W13" s="11">
        <f>IFERROR(E13+H13+K13+N13+Q13+T13,"")</f>
        <v/>
      </c>
      <c r="X13" s="13">
        <f>IFERROR(W13/W10,"")</f>
        <v/>
      </c>
    </row>
    <row r="14">
      <c r="A14" s="27" t="inlineStr">
        <is>
          <t>M</t>
        </is>
      </c>
      <c r="B14" s="8" t="inlineStr">
        <is>
          <t>ФОТ — Менеджер продаж 2</t>
        </is>
      </c>
      <c r="C14" s="9" t="inlineStr">
        <is>
          <t>продажи</t>
        </is>
      </c>
      <c r="D14" s="10" t="n"/>
      <c r="E14" s="10" t="n"/>
      <c r="F14" s="13">
        <f>IFERROR(E14/E10,"")</f>
        <v/>
      </c>
      <c r="G14" s="10" t="n"/>
      <c r="H14" s="10" t="n"/>
      <c r="I14" s="13">
        <f>IFERROR(H14/H10,"")</f>
        <v/>
      </c>
      <c r="J14" s="10" t="n"/>
      <c r="K14" s="10" t="n"/>
      <c r="L14" s="13">
        <f>IFERROR(K14/K10,"")</f>
        <v/>
      </c>
      <c r="M14" s="10" t="n"/>
      <c r="N14" s="10" t="n"/>
      <c r="O14" s="13">
        <f>IFERROR(N14/N10,"")</f>
        <v/>
      </c>
      <c r="P14" s="10" t="n"/>
      <c r="Q14" s="10" t="n"/>
      <c r="R14" s="13">
        <f>IFERROR(Q14/Q10,"")</f>
        <v/>
      </c>
      <c r="S14" s="10" t="n"/>
      <c r="T14" s="10" t="n"/>
      <c r="U14" s="13">
        <f>IFERROR(T14/T10,"")</f>
        <v/>
      </c>
      <c r="V14" s="11">
        <f>IFERROR(D14+G14+J14+M14+P14+S14,"")</f>
        <v/>
      </c>
      <c r="W14" s="11">
        <f>IFERROR(E14+H14+K14+N14+Q14+T14,"")</f>
        <v/>
      </c>
      <c r="X14" s="13">
        <f>IFERROR(W14/W10,"")</f>
        <v/>
      </c>
    </row>
    <row r="15">
      <c r="A15" s="27" t="inlineStr">
        <is>
          <t>M</t>
        </is>
      </c>
      <c r="B15" s="8" t="inlineStr">
        <is>
          <t>Инструменты/Сервисы (CRM, телефония)</t>
        </is>
      </c>
      <c r="C15" s="9" t="inlineStr">
        <is>
          <t>продажи</t>
        </is>
      </c>
      <c r="D15" s="10" t="n"/>
      <c r="E15" s="10" t="n"/>
      <c r="F15" s="13">
        <f>IFERROR(E15/E10,"")</f>
        <v/>
      </c>
      <c r="G15" s="10" t="n"/>
      <c r="H15" s="10" t="n"/>
      <c r="I15" s="13">
        <f>IFERROR(H15/H10,"")</f>
        <v/>
      </c>
      <c r="J15" s="10" t="n"/>
      <c r="K15" s="10" t="n"/>
      <c r="L15" s="13">
        <f>IFERROR(K15/K10,"")</f>
        <v/>
      </c>
      <c r="M15" s="10" t="n"/>
      <c r="N15" s="10" t="n"/>
      <c r="O15" s="13">
        <f>IFERROR(N15/N10,"")</f>
        <v/>
      </c>
      <c r="P15" s="10" t="n"/>
      <c r="Q15" s="10" t="n"/>
      <c r="R15" s="13">
        <f>IFERROR(Q15/Q10,"")</f>
        <v/>
      </c>
      <c r="S15" s="10" t="n"/>
      <c r="T15" s="10" t="n"/>
      <c r="U15" s="13">
        <f>IFERROR(T15/T10,"")</f>
        <v/>
      </c>
      <c r="V15" s="11">
        <f>IFERROR(D15+G15+J15+M15+P15+S15,"")</f>
        <v/>
      </c>
      <c r="W15" s="11">
        <f>IFERROR(E15+H15+K15+N15+Q15+T15,"")</f>
        <v/>
      </c>
      <c r="X15" s="13">
        <f>IFERROR(W15/W10,"")</f>
        <v/>
      </c>
    </row>
    <row r="16">
      <c r="A16" s="27" t="inlineStr">
        <is>
          <t>A</t>
        </is>
      </c>
      <c r="B16" s="8" t="inlineStr">
        <is>
          <t>Эквайринг (Робокасса 10%)</t>
        </is>
      </c>
      <c r="C16" s="9" t="inlineStr">
        <is>
          <t>финансы</t>
        </is>
      </c>
      <c r="D16" s="11">
        <f>IFERROR(D10*0.1,"")</f>
        <v/>
      </c>
      <c r="E16" s="11">
        <f>IFERROR(E10*0.1,"")</f>
        <v/>
      </c>
      <c r="F16" s="13">
        <f>IFERROR(E16/E10,"")</f>
        <v/>
      </c>
      <c r="G16" s="11">
        <f>IFERROR(G10*0.1,"")</f>
        <v/>
      </c>
      <c r="H16" s="11">
        <f>IFERROR(H10*0.1,"")</f>
        <v/>
      </c>
      <c r="I16" s="13">
        <f>IFERROR(H16/H10,"")</f>
        <v/>
      </c>
      <c r="J16" s="11">
        <f>IFERROR(J10*0.1,"")</f>
        <v/>
      </c>
      <c r="K16" s="11">
        <f>IFERROR(K10*0.1,"")</f>
        <v/>
      </c>
      <c r="L16" s="13">
        <f>IFERROR(K16/K10,"")</f>
        <v/>
      </c>
      <c r="M16" s="11">
        <f>IFERROR(M10*0.1,"")</f>
        <v/>
      </c>
      <c r="N16" s="11">
        <f>IFERROR(N10*0.1,"")</f>
        <v/>
      </c>
      <c r="O16" s="13">
        <f>IFERROR(N16/N10,"")</f>
        <v/>
      </c>
      <c r="P16" s="11">
        <f>IFERROR(P10*0.1,"")</f>
        <v/>
      </c>
      <c r="Q16" s="11">
        <f>IFERROR(Q10*0.1,"")</f>
        <v/>
      </c>
      <c r="R16" s="13">
        <f>IFERROR(Q16/Q10,"")</f>
        <v/>
      </c>
      <c r="S16" s="11">
        <f>IFERROR(S10*0.1,"")</f>
        <v/>
      </c>
      <c r="T16" s="11">
        <f>IFERROR(T10*0.1,"")</f>
        <v/>
      </c>
      <c r="U16" s="13">
        <f>IFERROR(T16/T10,"")</f>
        <v/>
      </c>
      <c r="V16" s="11">
        <f>IFERROR(V10*0.1,"")</f>
        <v/>
      </c>
      <c r="W16" s="11">
        <f>IFERROR(W10*0.1,"")</f>
        <v/>
      </c>
      <c r="X16" s="13">
        <f>IFERROR(W16/W10,"")</f>
        <v/>
      </c>
    </row>
    <row r="17">
      <c r="A17" s="27" t="inlineStr">
        <is>
          <t>A</t>
        </is>
      </c>
      <c r="B17" s="8" t="inlineStr">
        <is>
          <t>Административные</t>
        </is>
      </c>
      <c r="C17" s="9" t="inlineStr">
        <is>
          <t>финансы</t>
        </is>
      </c>
      <c r="D17" s="10" t="n"/>
      <c r="E17" s="10" t="n"/>
      <c r="F17" s="13">
        <f>IFERROR(E17/E10,"")</f>
        <v/>
      </c>
      <c r="G17" s="10" t="n"/>
      <c r="H17" s="10" t="n"/>
      <c r="I17" s="13">
        <f>IFERROR(H17/H10,"")</f>
        <v/>
      </c>
      <c r="J17" s="10" t="n"/>
      <c r="K17" s="10" t="n"/>
      <c r="L17" s="13">
        <f>IFERROR(K17/K10,"")</f>
        <v/>
      </c>
      <c r="M17" s="10" t="n"/>
      <c r="N17" s="10" t="n"/>
      <c r="O17" s="13">
        <f>IFERROR(N17/N10,"")</f>
        <v/>
      </c>
      <c r="P17" s="10" t="n"/>
      <c r="Q17" s="10" t="n"/>
      <c r="R17" s="13">
        <f>IFERROR(Q17/Q10,"")</f>
        <v/>
      </c>
      <c r="S17" s="10" t="n"/>
      <c r="T17" s="10" t="n"/>
      <c r="U17" s="13">
        <f>IFERROR(T17/T10,"")</f>
        <v/>
      </c>
      <c r="V17" s="11">
        <f>IFERROR(D17+G17+J17+M17+P17+S17,"")</f>
        <v/>
      </c>
      <c r="W17" s="11">
        <f>IFERROR(E17+H17+K17+N17+Q17+T17,"")</f>
        <v/>
      </c>
      <c r="X17" s="13">
        <f>IFERROR(W17/W10,"")</f>
        <v/>
      </c>
    </row>
    <row r="18">
      <c r="A18" s="14" t="inlineStr"/>
      <c r="B18" s="15" t="inlineStr">
        <is>
          <t>Маржинальная прибыль</t>
        </is>
      </c>
      <c r="C18" s="16" t="inlineStr">
        <is>
          <t>финансы</t>
        </is>
      </c>
      <c r="D18" s="17">
        <f>IFERROR(D10-D11,"")</f>
        <v/>
      </c>
      <c r="E18" s="17">
        <f>IFERROR(E10-E11,"")</f>
        <v/>
      </c>
      <c r="F18" s="18">
        <f>IFERROR(E18/E10,"")</f>
        <v/>
      </c>
      <c r="G18" s="17">
        <f>IFERROR(G10-G11,"")</f>
        <v/>
      </c>
      <c r="H18" s="17">
        <f>IFERROR(H10-H11,"")</f>
        <v/>
      </c>
      <c r="I18" s="18">
        <f>IFERROR(H18/H10,"")</f>
        <v/>
      </c>
      <c r="J18" s="17">
        <f>IFERROR(J10-J11,"")</f>
        <v/>
      </c>
      <c r="K18" s="17">
        <f>IFERROR(K10-K11,"")</f>
        <v/>
      </c>
      <c r="L18" s="18">
        <f>IFERROR(K18/K10,"")</f>
        <v/>
      </c>
      <c r="M18" s="17">
        <f>IFERROR(M10-M11,"")</f>
        <v/>
      </c>
      <c r="N18" s="17">
        <f>IFERROR(N10-N11,"")</f>
        <v/>
      </c>
      <c r="O18" s="18">
        <f>IFERROR(N18/N10,"")</f>
        <v/>
      </c>
      <c r="P18" s="17">
        <f>IFERROR(P10-P11,"")</f>
        <v/>
      </c>
      <c r="Q18" s="17">
        <f>IFERROR(Q10-Q11,"")</f>
        <v/>
      </c>
      <c r="R18" s="18">
        <f>IFERROR(Q18/Q10,"")</f>
        <v/>
      </c>
      <c r="S18" s="17">
        <f>IFERROR(S10-S11,"")</f>
        <v/>
      </c>
      <c r="T18" s="17">
        <f>IFERROR(T10-T11,"")</f>
        <v/>
      </c>
      <c r="U18" s="18">
        <f>IFERROR(T18/T10,"")</f>
        <v/>
      </c>
      <c r="V18" s="19">
        <f>IFERROR(V10-V11,"")</f>
        <v/>
      </c>
      <c r="W18" s="19">
        <f>IFERROR(W10-W11,"")</f>
        <v/>
      </c>
      <c r="X18" s="18">
        <f>IFERROR(W18/W10,"")</f>
        <v/>
      </c>
    </row>
    <row r="19">
      <c r="A19" s="12" t="inlineStr"/>
      <c r="B19" s="8" t="inlineStr">
        <is>
          <t>Выручка с 1 оплаты</t>
        </is>
      </c>
      <c r="C19" s="9" t="inlineStr">
        <is>
          <t>финансы</t>
        </is>
      </c>
      <c r="D19" s="11">
        <f>IFERROR(D10/D7,"")</f>
        <v/>
      </c>
      <c r="E19" s="11">
        <f>IFERROR(E10/E7,"")</f>
        <v/>
      </c>
      <c r="G19" s="11">
        <f>IFERROR(G10/G7,"")</f>
        <v/>
      </c>
      <c r="H19" s="11">
        <f>IFERROR(H10/H7,"")</f>
        <v/>
      </c>
      <c r="J19" s="11">
        <f>IFERROR(J10/J7,"")</f>
        <v/>
      </c>
      <c r="K19" s="11">
        <f>IFERROR(K10/K7,"")</f>
        <v/>
      </c>
      <c r="M19" s="11">
        <f>IFERROR(M10/M7,"")</f>
        <v/>
      </c>
      <c r="N19" s="11">
        <f>IFERROR(N10/N7,"")</f>
        <v/>
      </c>
      <c r="P19" s="11">
        <f>IFERROR(P10/P7,"")</f>
        <v/>
      </c>
      <c r="Q19" s="11">
        <f>IFERROR(Q10/Q7,"")</f>
        <v/>
      </c>
      <c r="S19" s="11">
        <f>IFERROR(S10/S7,"")</f>
        <v/>
      </c>
      <c r="T19" s="11">
        <f>IFERROR(T10/T7,"")</f>
        <v/>
      </c>
      <c r="V19" s="11">
        <f>IFERROR(V10/V7,"")</f>
        <v/>
      </c>
      <c r="W19" s="11">
        <f>IFERROR(W10/W7,"")</f>
        <v/>
      </c>
    </row>
    <row r="20">
      <c r="A20" s="12" t="inlineStr"/>
      <c r="B20" s="8" t="inlineStr">
        <is>
          <t>Расходы на 1 оплату</t>
        </is>
      </c>
      <c r="C20" s="9" t="inlineStr">
        <is>
          <t>финансы</t>
        </is>
      </c>
      <c r="D20" s="11">
        <f>IFERROR(D11/D7,"")</f>
        <v/>
      </c>
      <c r="E20" s="11">
        <f>IFERROR(E11/E7,"")</f>
        <v/>
      </c>
      <c r="G20" s="11">
        <f>IFERROR(G11/G7,"")</f>
        <v/>
      </c>
      <c r="H20" s="11">
        <f>IFERROR(H11/H7,"")</f>
        <v/>
      </c>
      <c r="J20" s="11">
        <f>IFERROR(J11/J7,"")</f>
        <v/>
      </c>
      <c r="K20" s="11">
        <f>IFERROR(K11/K7,"")</f>
        <v/>
      </c>
      <c r="M20" s="11">
        <f>IFERROR(M11/M7,"")</f>
        <v/>
      </c>
      <c r="N20" s="11">
        <f>IFERROR(N11/N7,"")</f>
        <v/>
      </c>
      <c r="P20" s="11">
        <f>IFERROR(P11/P7,"")</f>
        <v/>
      </c>
      <c r="Q20" s="11">
        <f>IFERROR(Q11/Q7,"")</f>
        <v/>
      </c>
      <c r="S20" s="11">
        <f>IFERROR(S11/S7,"")</f>
        <v/>
      </c>
      <c r="T20" s="11">
        <f>IFERROR(T11/T7,"")</f>
        <v/>
      </c>
      <c r="V20" s="11">
        <f>IFERROR(V11/V7,"")</f>
        <v/>
      </c>
      <c r="W20" s="11">
        <f>IFERROR(W11/W7,"")</f>
        <v/>
      </c>
    </row>
    <row r="21">
      <c r="A21" s="12" t="inlineStr"/>
      <c r="B21" s="8" t="inlineStr">
        <is>
          <t>Маржинальная прибыль на 1 оплату</t>
        </is>
      </c>
      <c r="C21" s="9" t="inlineStr">
        <is>
          <t>финансы</t>
        </is>
      </c>
      <c r="D21" s="11">
        <f>IFERROR(D18/D7,"")</f>
        <v/>
      </c>
      <c r="E21" s="11">
        <f>IFERROR(E18/E7,"")</f>
        <v/>
      </c>
      <c r="G21" s="11">
        <f>IFERROR(G18/G7,"")</f>
        <v/>
      </c>
      <c r="H21" s="11">
        <f>IFERROR(H18/H7,"")</f>
        <v/>
      </c>
      <c r="J21" s="11">
        <f>IFERROR(J18/J7,"")</f>
        <v/>
      </c>
      <c r="K21" s="11">
        <f>IFERROR(K18/K7,"")</f>
        <v/>
      </c>
      <c r="M21" s="11">
        <f>IFERROR(M18/M7,"")</f>
        <v/>
      </c>
      <c r="N21" s="11">
        <f>IFERROR(N18/N7,"")</f>
        <v/>
      </c>
      <c r="P21" s="11">
        <f>IFERROR(P18/P7,"")</f>
        <v/>
      </c>
      <c r="Q21" s="11">
        <f>IFERROR(Q18/Q7,"")</f>
        <v/>
      </c>
      <c r="S21" s="11">
        <f>IFERROR(S18/S7,"")</f>
        <v/>
      </c>
      <c r="T21" s="11">
        <f>IFERROR(T18/T7,"")</f>
        <v/>
      </c>
      <c r="V21" s="11">
        <f>IFERROR(V18/V7,"")</f>
        <v/>
      </c>
      <c r="W21" s="11">
        <f>IFERROR(W18/W7,"")</f>
        <v/>
      </c>
    </row>
    <row r="22">
      <c r="A22" s="12" t="inlineStr"/>
      <c r="B22" s="8" t="inlineStr">
        <is>
          <t>Маржинальность оплаты</t>
        </is>
      </c>
      <c r="C22" s="9" t="inlineStr">
        <is>
          <t>финансы</t>
        </is>
      </c>
      <c r="D22" s="13">
        <f>IFERROR((D19-D20)/D19,"")</f>
        <v/>
      </c>
      <c r="E22" s="13">
        <f>IFERROR((E19-E20)/E19,"")</f>
        <v/>
      </c>
      <c r="G22" s="13">
        <f>IFERROR((G19-G20)/G19,"")</f>
        <v/>
      </c>
      <c r="H22" s="13">
        <f>IFERROR((H19-H20)/H19,"")</f>
        <v/>
      </c>
      <c r="J22" s="13">
        <f>IFERROR((J19-J20)/J19,"")</f>
        <v/>
      </c>
      <c r="K22" s="13">
        <f>IFERROR((K19-K20)/K19,"")</f>
        <v/>
      </c>
      <c r="M22" s="13">
        <f>IFERROR((M19-M20)/M19,"")</f>
        <v/>
      </c>
      <c r="N22" s="13">
        <f>IFERROR((N19-N20)/N19,"")</f>
        <v/>
      </c>
      <c r="P22" s="13">
        <f>IFERROR((P19-P20)/P19,"")</f>
        <v/>
      </c>
      <c r="Q22" s="13">
        <f>IFERROR((Q19-Q20)/Q19,"")</f>
        <v/>
      </c>
      <c r="S22" s="13">
        <f>IFERROR((S19-S20)/S19,"")</f>
        <v/>
      </c>
      <c r="T22" s="13">
        <f>IFERROR((T19-T20)/T19,"")</f>
        <v/>
      </c>
      <c r="V22" s="13">
        <f>IFERROR((V19-V20)/V19,"")</f>
        <v/>
      </c>
      <c r="W22" s="13">
        <f>IFERROR((W19-W20)/W19,"")</f>
        <v/>
      </c>
    </row>
  </sheetData>
  <mergeCells count="8">
    <mergeCell ref="D2:F2"/>
    <mergeCell ref="G2:I2"/>
    <mergeCell ref="J2:L2"/>
    <mergeCell ref="P2:R2"/>
    <mergeCell ref="A1:X1"/>
    <mergeCell ref="M2:O2"/>
    <mergeCell ref="S2:U2"/>
    <mergeCell ref="V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MainExperts · P&amp;L · Свод по двум потокам (Платформа + Поток-1) · ₽</t>
        </is>
      </c>
    </row>
    <row r="2">
      <c r="A2" s="2" t="n"/>
      <c r="B2" s="2" t="n"/>
      <c r="C2" s="2" t="n"/>
      <c r="D2" s="3" t="inlineStr">
        <is>
          <t>июл.26</t>
        </is>
      </c>
      <c r="G2" s="3" t="inlineStr">
        <is>
          <t>авг.26</t>
        </is>
      </c>
      <c r="J2" s="3" t="inlineStr">
        <is>
          <t>сен.26</t>
        </is>
      </c>
      <c r="M2" s="3" t="inlineStr">
        <is>
          <t>окт.26</t>
        </is>
      </c>
      <c r="P2" s="3" t="inlineStr">
        <is>
          <t>ноя.26</t>
        </is>
      </c>
      <c r="S2" s="3" t="inlineStr">
        <is>
          <t>дек.26</t>
        </is>
      </c>
      <c r="V2" s="3" t="inlineStr">
        <is>
          <t>Год</t>
        </is>
      </c>
    </row>
    <row r="3">
      <c r="A3" s="4" t="inlineStr">
        <is>
          <t>Код</t>
        </is>
      </c>
      <c r="B3" s="4" t="inlineStr">
        <is>
          <t>Статья / метрика</t>
        </is>
      </c>
      <c r="C3" s="4" t="inlineStr">
        <is>
          <t>Направление</t>
        </is>
      </c>
      <c r="D3" s="5" t="inlineStr">
        <is>
          <t>План</t>
        </is>
      </c>
      <c r="E3" s="5" t="inlineStr">
        <is>
          <t>Факт</t>
        </is>
      </c>
      <c r="F3" s="5" t="inlineStr">
        <is>
          <t>%</t>
        </is>
      </c>
      <c r="G3" s="5" t="inlineStr">
        <is>
          <t>План</t>
        </is>
      </c>
      <c r="H3" s="5" t="inlineStr">
        <is>
          <t>Факт</t>
        </is>
      </c>
      <c r="I3" s="5" t="inlineStr">
        <is>
          <t>%</t>
        </is>
      </c>
      <c r="J3" s="5" t="inlineStr">
        <is>
          <t>План</t>
        </is>
      </c>
      <c r="K3" s="5" t="inlineStr">
        <is>
          <t>Факт</t>
        </is>
      </c>
      <c r="L3" s="5" t="inlineStr">
        <is>
          <t>%</t>
        </is>
      </c>
      <c r="M3" s="5" t="inlineStr">
        <is>
          <t>План</t>
        </is>
      </c>
      <c r="N3" s="5" t="inlineStr">
        <is>
          <t>Факт</t>
        </is>
      </c>
      <c r="O3" s="5" t="inlineStr">
        <is>
          <t>%</t>
        </is>
      </c>
      <c r="P3" s="5" t="inlineStr">
        <is>
          <t>План</t>
        </is>
      </c>
      <c r="Q3" s="5" t="inlineStr">
        <is>
          <t>Факт</t>
        </is>
      </c>
      <c r="R3" s="5" t="inlineStr">
        <is>
          <t>%</t>
        </is>
      </c>
      <c r="S3" s="5" t="inlineStr">
        <is>
          <t>План</t>
        </is>
      </c>
      <c r="T3" s="5" t="inlineStr">
        <is>
          <t>Факт</t>
        </is>
      </c>
      <c r="U3" s="5" t="inlineStr">
        <is>
          <t>%</t>
        </is>
      </c>
      <c r="V3" s="6" t="inlineStr">
        <is>
          <t>План</t>
        </is>
      </c>
      <c r="W3" s="6" t="inlineStr">
        <is>
          <t>Факт</t>
        </is>
      </c>
      <c r="X3" s="6" t="inlineStr">
        <is>
          <t>%</t>
        </is>
      </c>
    </row>
    <row r="4">
      <c r="A4" s="14" t="inlineStr"/>
      <c r="B4" s="15" t="inlineStr">
        <is>
          <t>Выручка всего</t>
        </is>
      </c>
      <c r="C4" s="16" t="inlineStr">
        <is>
          <t>финансы</t>
        </is>
      </c>
      <c r="D4" s="17">
        <f>IFERROR('Платформа'!D10+'Поток-1'!D10,"")</f>
        <v/>
      </c>
      <c r="E4" s="17">
        <f>IFERROR('Платформа'!E10+'Поток-1'!E10,"")</f>
        <v/>
      </c>
      <c r="F4" s="18">
        <f>IFERROR(E4/E4,"")</f>
        <v/>
      </c>
      <c r="G4" s="17">
        <f>IFERROR('Платформа'!G10+'Поток-1'!G10,"")</f>
        <v/>
      </c>
      <c r="H4" s="17">
        <f>IFERROR('Платформа'!H10+'Поток-1'!H10,"")</f>
        <v/>
      </c>
      <c r="I4" s="18">
        <f>IFERROR(H4/H4,"")</f>
        <v/>
      </c>
      <c r="J4" s="17">
        <f>IFERROR('Платформа'!J10+'Поток-1'!J10,"")</f>
        <v/>
      </c>
      <c r="K4" s="17">
        <f>IFERROR('Платформа'!K10+'Поток-1'!K10,"")</f>
        <v/>
      </c>
      <c r="L4" s="18">
        <f>IFERROR(K4/K4,"")</f>
        <v/>
      </c>
      <c r="M4" s="17">
        <f>IFERROR('Платформа'!M10+'Поток-1'!M10,"")</f>
        <v/>
      </c>
      <c r="N4" s="17">
        <f>IFERROR('Платформа'!N10+'Поток-1'!N10,"")</f>
        <v/>
      </c>
      <c r="O4" s="18">
        <f>IFERROR(N4/N4,"")</f>
        <v/>
      </c>
      <c r="P4" s="17">
        <f>IFERROR('Платформа'!P10+'Поток-1'!P10,"")</f>
        <v/>
      </c>
      <c r="Q4" s="17">
        <f>IFERROR('Платформа'!Q10+'Поток-1'!Q10,"")</f>
        <v/>
      </c>
      <c r="R4" s="18">
        <f>IFERROR(Q4/Q4,"")</f>
        <v/>
      </c>
      <c r="S4" s="17">
        <f>IFERROR('Платформа'!S10+'Поток-1'!S10,"")</f>
        <v/>
      </c>
      <c r="T4" s="17">
        <f>IFERROR('Платформа'!T10+'Поток-1'!T10,"")</f>
        <v/>
      </c>
      <c r="U4" s="18">
        <f>IFERROR(T4/T4,"")</f>
        <v/>
      </c>
      <c r="V4" s="19">
        <f>IFERROR('Платформа'!V10+'Поток-1'!V10,"")</f>
        <v/>
      </c>
      <c r="W4" s="19">
        <f>IFERROR('Платформа'!W10+'Поток-1'!W10,"")</f>
        <v/>
      </c>
      <c r="X4" s="18">
        <f>IFERROR(W4/W4,"")</f>
        <v/>
      </c>
    </row>
    <row r="5">
      <c r="A5" s="20" t="inlineStr"/>
      <c r="B5" s="21" t="inlineStr">
        <is>
          <t>Расходы всего</t>
        </is>
      </c>
      <c r="C5" s="22" t="inlineStr">
        <is>
          <t>финансы</t>
        </is>
      </c>
      <c r="D5" s="23">
        <f>IFERROR(SUM(D6:D12),"")</f>
        <v/>
      </c>
      <c r="E5" s="23">
        <f>IFERROR(SUM(E6:E12),"")</f>
        <v/>
      </c>
      <c r="F5" s="24">
        <f>IFERROR(E5/E4,"")</f>
        <v/>
      </c>
      <c r="G5" s="23">
        <f>IFERROR(SUM(G6:G12),"")</f>
        <v/>
      </c>
      <c r="H5" s="23">
        <f>IFERROR(SUM(H6:H12),"")</f>
        <v/>
      </c>
      <c r="I5" s="24">
        <f>IFERROR(H5/H4,"")</f>
        <v/>
      </c>
      <c r="J5" s="23">
        <f>IFERROR(SUM(J6:J12),"")</f>
        <v/>
      </c>
      <c r="K5" s="23">
        <f>IFERROR(SUM(K6:K12),"")</f>
        <v/>
      </c>
      <c r="L5" s="24">
        <f>IFERROR(K5/K4,"")</f>
        <v/>
      </c>
      <c r="M5" s="23">
        <f>IFERROR(SUM(M6:M12),"")</f>
        <v/>
      </c>
      <c r="N5" s="23">
        <f>IFERROR(SUM(N6:N12),"")</f>
        <v/>
      </c>
      <c r="O5" s="24">
        <f>IFERROR(N5/N4,"")</f>
        <v/>
      </c>
      <c r="P5" s="23">
        <f>IFERROR(SUM(P6:P12),"")</f>
        <v/>
      </c>
      <c r="Q5" s="23">
        <f>IFERROR(SUM(Q6:Q12),"")</f>
        <v/>
      </c>
      <c r="R5" s="24">
        <f>IFERROR(Q5/Q4,"")</f>
        <v/>
      </c>
      <c r="S5" s="23">
        <f>IFERROR(SUM(S6:S12),"")</f>
        <v/>
      </c>
      <c r="T5" s="23">
        <f>IFERROR(SUM(T6:T12),"")</f>
        <v/>
      </c>
      <c r="U5" s="24">
        <f>IFERROR(T5/T4,"")</f>
        <v/>
      </c>
      <c r="V5" s="25">
        <f>IFERROR(SUM(V6:V12),"")</f>
        <v/>
      </c>
      <c r="W5" s="25">
        <f>IFERROR(SUM(W6:W12),"")</f>
        <v/>
      </c>
      <c r="X5" s="26">
        <f>IFERROR(W5/W4,"")</f>
        <v/>
      </c>
    </row>
    <row r="6">
      <c r="A6" s="27" t="inlineStr">
        <is>
          <t>М П1</t>
        </is>
      </c>
      <c r="B6" s="8" t="inlineStr">
        <is>
          <t>Рекламный бюджет Итого</t>
        </is>
      </c>
      <c r="C6" s="9" t="inlineStr">
        <is>
          <t>маркетинг</t>
        </is>
      </c>
      <c r="D6" s="11">
        <f>IFERROR('Платформа'!D12+'Поток-1'!D12,"")</f>
        <v/>
      </c>
      <c r="E6" s="11">
        <f>IFERROR('Платформа'!E12+'Поток-1'!E12,"")</f>
        <v/>
      </c>
      <c r="F6" s="13">
        <f>IFERROR(E6/E4,"")</f>
        <v/>
      </c>
      <c r="G6" s="11">
        <f>IFERROR('Платформа'!G12+'Поток-1'!G12,"")</f>
        <v/>
      </c>
      <c r="H6" s="11">
        <f>IFERROR('Платформа'!H12+'Поток-1'!H12,"")</f>
        <v/>
      </c>
      <c r="I6" s="13">
        <f>IFERROR(H6/H4,"")</f>
        <v/>
      </c>
      <c r="J6" s="11">
        <f>IFERROR('Платформа'!J12+'Поток-1'!J12,"")</f>
        <v/>
      </c>
      <c r="K6" s="11">
        <f>IFERROR('Платформа'!K12+'Поток-1'!K12,"")</f>
        <v/>
      </c>
      <c r="L6" s="13">
        <f>IFERROR(K6/K4,"")</f>
        <v/>
      </c>
      <c r="M6" s="11">
        <f>IFERROR('Платформа'!M12+'Поток-1'!M12,"")</f>
        <v/>
      </c>
      <c r="N6" s="11">
        <f>IFERROR('Платформа'!N12+'Поток-1'!N12,"")</f>
        <v/>
      </c>
      <c r="O6" s="13">
        <f>IFERROR(N6/N4,"")</f>
        <v/>
      </c>
      <c r="P6" s="11">
        <f>IFERROR('Платформа'!P12+'Поток-1'!P12,"")</f>
        <v/>
      </c>
      <c r="Q6" s="11">
        <f>IFERROR('Платформа'!Q12+'Поток-1'!Q12,"")</f>
        <v/>
      </c>
      <c r="R6" s="13">
        <f>IFERROR(Q6/Q4,"")</f>
        <v/>
      </c>
      <c r="S6" s="11">
        <f>IFERROR('Платформа'!S12+'Поток-1'!S12,"")</f>
        <v/>
      </c>
      <c r="T6" s="11">
        <f>IFERROR('Платформа'!T12+'Поток-1'!T12,"")</f>
        <v/>
      </c>
      <c r="U6" s="13">
        <f>IFERROR(T6/T4,"")</f>
        <v/>
      </c>
      <c r="V6" s="11">
        <f>IFERROR('Платформа'!V12+'Поток-1'!V12,"")</f>
        <v/>
      </c>
      <c r="W6" s="11">
        <f>IFERROR('Платформа'!W12+'Поток-1'!W12,"")</f>
        <v/>
      </c>
      <c r="X6" s="13">
        <f>IFERROR(W6/W4,"")</f>
        <v/>
      </c>
    </row>
    <row r="7">
      <c r="A7" s="27" t="inlineStr">
        <is>
          <t>П</t>
        </is>
      </c>
      <c r="B7" s="8" t="inlineStr">
        <is>
          <t>ФОТ Платформа</t>
        </is>
      </c>
      <c r="C7" s="9" t="inlineStr">
        <is>
          <t>операционка</t>
        </is>
      </c>
      <c r="D7" s="11">
        <f>IFERROR('Платформа'!D13,"")</f>
        <v/>
      </c>
      <c r="E7" s="11">
        <f>IFERROR('Платформа'!E13,"")</f>
        <v/>
      </c>
      <c r="F7" s="13">
        <f>IFERROR(E7/E4,"")</f>
        <v/>
      </c>
      <c r="G7" s="11">
        <f>IFERROR('Платформа'!G13,"")</f>
        <v/>
      </c>
      <c r="H7" s="11">
        <f>IFERROR('Платформа'!H13,"")</f>
        <v/>
      </c>
      <c r="I7" s="13">
        <f>IFERROR(H7/H4,"")</f>
        <v/>
      </c>
      <c r="J7" s="11">
        <f>IFERROR('Платформа'!J13,"")</f>
        <v/>
      </c>
      <c r="K7" s="11">
        <f>IFERROR('Платформа'!K13,"")</f>
        <v/>
      </c>
      <c r="L7" s="13">
        <f>IFERROR(K7/K4,"")</f>
        <v/>
      </c>
      <c r="M7" s="11">
        <f>IFERROR('Платформа'!M13,"")</f>
        <v/>
      </c>
      <c r="N7" s="11">
        <f>IFERROR('Платформа'!N13,"")</f>
        <v/>
      </c>
      <c r="O7" s="13">
        <f>IFERROR(N7/N4,"")</f>
        <v/>
      </c>
      <c r="P7" s="11">
        <f>IFERROR('Платформа'!P13,"")</f>
        <v/>
      </c>
      <c r="Q7" s="11">
        <f>IFERROR('Платформа'!Q13,"")</f>
        <v/>
      </c>
      <c r="R7" s="13">
        <f>IFERROR(Q7/Q4,"")</f>
        <v/>
      </c>
      <c r="S7" s="11">
        <f>IFERROR('Платформа'!S13,"")</f>
        <v/>
      </c>
      <c r="T7" s="11">
        <f>IFERROR('Платформа'!T13,"")</f>
        <v/>
      </c>
      <c r="U7" s="13">
        <f>IFERROR(T7/T4,"")</f>
        <v/>
      </c>
      <c r="V7" s="11">
        <f>IFERROR('Платформа'!V13,"")</f>
        <v/>
      </c>
      <c r="W7" s="11">
        <f>IFERROR('Платформа'!W13,"")</f>
        <v/>
      </c>
      <c r="X7" s="13">
        <f>IFERROR(W7/W4,"")</f>
        <v/>
      </c>
    </row>
    <row r="8">
      <c r="A8" s="27" t="inlineStr">
        <is>
          <t>П1</t>
        </is>
      </c>
      <c r="B8" s="8" t="inlineStr">
        <is>
          <t>ФОТ Продажи (2 менеджера)</t>
        </is>
      </c>
      <c r="C8" s="9" t="inlineStr">
        <is>
          <t>продажи</t>
        </is>
      </c>
      <c r="D8" s="11">
        <f>IFERROR('Поток-1'!D13+'Поток-1'!D14,"")</f>
        <v/>
      </c>
      <c r="E8" s="11">
        <f>IFERROR('Поток-1'!E13+'Поток-1'!E14,"")</f>
        <v/>
      </c>
      <c r="F8" s="13">
        <f>IFERROR(E8/E4,"")</f>
        <v/>
      </c>
      <c r="G8" s="11">
        <f>IFERROR('Поток-1'!G13+'Поток-1'!G14,"")</f>
        <v/>
      </c>
      <c r="H8" s="11">
        <f>IFERROR('Поток-1'!H13+'Поток-1'!H14,"")</f>
        <v/>
      </c>
      <c r="I8" s="13">
        <f>IFERROR(H8/H4,"")</f>
        <v/>
      </c>
      <c r="J8" s="11">
        <f>IFERROR('Поток-1'!J13+'Поток-1'!J14,"")</f>
        <v/>
      </c>
      <c r="K8" s="11">
        <f>IFERROR('Поток-1'!K13+'Поток-1'!K14,"")</f>
        <v/>
      </c>
      <c r="L8" s="13">
        <f>IFERROR(K8/K4,"")</f>
        <v/>
      </c>
      <c r="M8" s="11">
        <f>IFERROR('Поток-1'!M13+'Поток-1'!M14,"")</f>
        <v/>
      </c>
      <c r="N8" s="11">
        <f>IFERROR('Поток-1'!N13+'Поток-1'!N14,"")</f>
        <v/>
      </c>
      <c r="O8" s="13">
        <f>IFERROR(N8/N4,"")</f>
        <v/>
      </c>
      <c r="P8" s="11">
        <f>IFERROR('Поток-1'!P13+'Поток-1'!P14,"")</f>
        <v/>
      </c>
      <c r="Q8" s="11">
        <f>IFERROR('Поток-1'!Q13+'Поток-1'!Q14,"")</f>
        <v/>
      </c>
      <c r="R8" s="13">
        <f>IFERROR(Q8/Q4,"")</f>
        <v/>
      </c>
      <c r="S8" s="11">
        <f>IFERROR('Поток-1'!S13+'Поток-1'!S14,"")</f>
        <v/>
      </c>
      <c r="T8" s="11">
        <f>IFERROR('Поток-1'!T13+'Поток-1'!T14,"")</f>
        <v/>
      </c>
      <c r="U8" s="13">
        <f>IFERROR(T8/T4,"")</f>
        <v/>
      </c>
      <c r="V8" s="11">
        <f>IFERROR('Поток-1'!V13+'Поток-1'!V14,"")</f>
        <v/>
      </c>
      <c r="W8" s="11">
        <f>IFERROR('Поток-1'!W13+'Поток-1'!W14,"")</f>
        <v/>
      </c>
      <c r="X8" s="13">
        <f>IFERROR(W8/W4,"")</f>
        <v/>
      </c>
    </row>
    <row r="9">
      <c r="A9" s="27" t="inlineStr">
        <is>
          <t>М П1</t>
        </is>
      </c>
      <c r="B9" s="8" t="inlineStr">
        <is>
          <t>Инструменты и Сервисы</t>
        </is>
      </c>
      <c r="C9" s="9" t="inlineStr">
        <is>
          <t>операционка</t>
        </is>
      </c>
      <c r="D9" s="11">
        <f>IFERROR('Платформа'!D14+'Поток-1'!D15,"")</f>
        <v/>
      </c>
      <c r="E9" s="11">
        <f>IFERROR('Платформа'!E14+'Поток-1'!E15,"")</f>
        <v/>
      </c>
      <c r="F9" s="13">
        <f>IFERROR(E9/E4,"")</f>
        <v/>
      </c>
      <c r="G9" s="11">
        <f>IFERROR('Платформа'!G14+'Поток-1'!G15,"")</f>
        <v/>
      </c>
      <c r="H9" s="11">
        <f>IFERROR('Платформа'!H14+'Поток-1'!H15,"")</f>
        <v/>
      </c>
      <c r="I9" s="13">
        <f>IFERROR(H9/H4,"")</f>
        <v/>
      </c>
      <c r="J9" s="11">
        <f>IFERROR('Платформа'!J14+'Поток-1'!J15,"")</f>
        <v/>
      </c>
      <c r="K9" s="11">
        <f>IFERROR('Платформа'!K14+'Поток-1'!K15,"")</f>
        <v/>
      </c>
      <c r="L9" s="13">
        <f>IFERROR(K9/K4,"")</f>
        <v/>
      </c>
      <c r="M9" s="11">
        <f>IFERROR('Платформа'!M14+'Поток-1'!M15,"")</f>
        <v/>
      </c>
      <c r="N9" s="11">
        <f>IFERROR('Платформа'!N14+'Поток-1'!N15,"")</f>
        <v/>
      </c>
      <c r="O9" s="13">
        <f>IFERROR(N9/N4,"")</f>
        <v/>
      </c>
      <c r="P9" s="11">
        <f>IFERROR('Платформа'!P14+'Поток-1'!P15,"")</f>
        <v/>
      </c>
      <c r="Q9" s="11">
        <f>IFERROR('Платформа'!Q14+'Поток-1'!Q15,"")</f>
        <v/>
      </c>
      <c r="R9" s="13">
        <f>IFERROR(Q9/Q4,"")</f>
        <v/>
      </c>
      <c r="S9" s="11">
        <f>IFERROR('Платформа'!S14+'Поток-1'!S15,"")</f>
        <v/>
      </c>
      <c r="T9" s="11">
        <f>IFERROR('Платформа'!T14+'Поток-1'!T15,"")</f>
        <v/>
      </c>
      <c r="U9" s="13">
        <f>IFERROR(T9/T4,"")</f>
        <v/>
      </c>
      <c r="V9" s="11">
        <f>IFERROR('Платформа'!V14+'Поток-1'!V15,"")</f>
        <v/>
      </c>
      <c r="W9" s="11">
        <f>IFERROR('Платформа'!W14+'Поток-1'!W15,"")</f>
        <v/>
      </c>
      <c r="X9" s="13">
        <f>IFERROR(W9/W4,"")</f>
        <v/>
      </c>
    </row>
    <row r="10">
      <c r="A10" s="27" t="inlineStr">
        <is>
          <t>П</t>
        </is>
      </c>
      <c r="B10" s="8" t="inlineStr">
        <is>
          <t>AI-стоимость / Себестоимость</t>
        </is>
      </c>
      <c r="C10" s="9" t="inlineStr">
        <is>
          <t>разработка</t>
        </is>
      </c>
      <c r="D10" s="11">
        <f>IFERROR('Платформа'!D15+'Платформа'!D16,"")</f>
        <v/>
      </c>
      <c r="E10" s="11">
        <f>IFERROR('Платформа'!E15+'Платформа'!E16,"")</f>
        <v/>
      </c>
      <c r="F10" s="13">
        <f>IFERROR(E10/E4,"")</f>
        <v/>
      </c>
      <c r="G10" s="11">
        <f>IFERROR('Платформа'!G15+'Платформа'!G16,"")</f>
        <v/>
      </c>
      <c r="H10" s="11">
        <f>IFERROR('Платформа'!H15+'Платформа'!H16,"")</f>
        <v/>
      </c>
      <c r="I10" s="13">
        <f>IFERROR(H10/H4,"")</f>
        <v/>
      </c>
      <c r="J10" s="11">
        <f>IFERROR('Платформа'!J15+'Платформа'!J16,"")</f>
        <v/>
      </c>
      <c r="K10" s="11">
        <f>IFERROR('Платформа'!K15+'Платформа'!K16,"")</f>
        <v/>
      </c>
      <c r="L10" s="13">
        <f>IFERROR(K10/K4,"")</f>
        <v/>
      </c>
      <c r="M10" s="11">
        <f>IFERROR('Платформа'!M15+'Платформа'!M16,"")</f>
        <v/>
      </c>
      <c r="N10" s="11">
        <f>IFERROR('Платформа'!N15+'Платформа'!N16,"")</f>
        <v/>
      </c>
      <c r="O10" s="13">
        <f>IFERROR(N10/N4,"")</f>
        <v/>
      </c>
      <c r="P10" s="11">
        <f>IFERROR('Платформа'!P15+'Платформа'!P16,"")</f>
        <v/>
      </c>
      <c r="Q10" s="11">
        <f>IFERROR('Платформа'!Q15+'Платформа'!Q16,"")</f>
        <v/>
      </c>
      <c r="R10" s="13">
        <f>IFERROR(Q10/Q4,"")</f>
        <v/>
      </c>
      <c r="S10" s="11">
        <f>IFERROR('Платформа'!S15+'Платформа'!S16,"")</f>
        <v/>
      </c>
      <c r="T10" s="11">
        <f>IFERROR('Платформа'!T15+'Платформа'!T16,"")</f>
        <v/>
      </c>
      <c r="U10" s="13">
        <f>IFERROR(T10/T4,"")</f>
        <v/>
      </c>
      <c r="V10" s="11">
        <f>IFERROR('Платформа'!V15+'Платформа'!V16,"")</f>
        <v/>
      </c>
      <c r="W10" s="11">
        <f>IFERROR('Платформа'!W15+'Платформа'!W16,"")</f>
        <v/>
      </c>
      <c r="X10" s="13">
        <f>IFERROR(W10/W4,"")</f>
        <v/>
      </c>
    </row>
    <row r="11">
      <c r="A11" s="27" t="inlineStr">
        <is>
          <t>А</t>
        </is>
      </c>
      <c r="B11" s="8" t="inlineStr">
        <is>
          <t>Эквайринг</t>
        </is>
      </c>
      <c r="C11" s="9" t="inlineStr">
        <is>
          <t>финансы</t>
        </is>
      </c>
      <c r="D11" s="11">
        <f>IFERROR('Платформа'!D17+'Поток-1'!D16,"")</f>
        <v/>
      </c>
      <c r="E11" s="11">
        <f>IFERROR('Платформа'!E17+'Поток-1'!E16,"")</f>
        <v/>
      </c>
      <c r="F11" s="13">
        <f>IFERROR(E11/E4,"")</f>
        <v/>
      </c>
      <c r="G11" s="11">
        <f>IFERROR('Платформа'!G17+'Поток-1'!G16,"")</f>
        <v/>
      </c>
      <c r="H11" s="11">
        <f>IFERROR('Платформа'!H17+'Поток-1'!H16,"")</f>
        <v/>
      </c>
      <c r="I11" s="13">
        <f>IFERROR(H11/H4,"")</f>
        <v/>
      </c>
      <c r="J11" s="11">
        <f>IFERROR('Платформа'!J17+'Поток-1'!J16,"")</f>
        <v/>
      </c>
      <c r="K11" s="11">
        <f>IFERROR('Платформа'!K17+'Поток-1'!K16,"")</f>
        <v/>
      </c>
      <c r="L11" s="13">
        <f>IFERROR(K11/K4,"")</f>
        <v/>
      </c>
      <c r="M11" s="11">
        <f>IFERROR('Платформа'!M17+'Поток-1'!M16,"")</f>
        <v/>
      </c>
      <c r="N11" s="11">
        <f>IFERROR('Платформа'!N17+'Поток-1'!N16,"")</f>
        <v/>
      </c>
      <c r="O11" s="13">
        <f>IFERROR(N11/N4,"")</f>
        <v/>
      </c>
      <c r="P11" s="11">
        <f>IFERROR('Платформа'!P17+'Поток-1'!P16,"")</f>
        <v/>
      </c>
      <c r="Q11" s="11">
        <f>IFERROR('Платформа'!Q17+'Поток-1'!Q16,"")</f>
        <v/>
      </c>
      <c r="R11" s="13">
        <f>IFERROR(Q11/Q4,"")</f>
        <v/>
      </c>
      <c r="S11" s="11">
        <f>IFERROR('Платформа'!S17+'Поток-1'!S16,"")</f>
        <v/>
      </c>
      <c r="T11" s="11">
        <f>IFERROR('Платформа'!T17+'Поток-1'!T16,"")</f>
        <v/>
      </c>
      <c r="U11" s="13">
        <f>IFERROR(T11/T4,"")</f>
        <v/>
      </c>
      <c r="V11" s="11">
        <f>IFERROR('Платформа'!V17+'Поток-1'!V16,"")</f>
        <v/>
      </c>
      <c r="W11" s="11">
        <f>IFERROR('Платформа'!W17+'Поток-1'!W16,"")</f>
        <v/>
      </c>
      <c r="X11" s="13">
        <f>IFERROR(W11/W4,"")</f>
        <v/>
      </c>
    </row>
    <row r="12">
      <c r="A12" s="27" t="inlineStr">
        <is>
          <t>А</t>
        </is>
      </c>
      <c r="B12" s="8" t="inlineStr">
        <is>
          <t>Административные</t>
        </is>
      </c>
      <c r="C12" s="9" t="inlineStr">
        <is>
          <t>финансы</t>
        </is>
      </c>
      <c r="D12" s="11">
        <f>IFERROR('Платформа'!D18+'Поток-1'!D17,"")</f>
        <v/>
      </c>
      <c r="E12" s="11">
        <f>IFERROR('Платформа'!E18+'Поток-1'!E17,"")</f>
        <v/>
      </c>
      <c r="F12" s="13">
        <f>IFERROR(E12/E4,"")</f>
        <v/>
      </c>
      <c r="G12" s="11">
        <f>IFERROR('Платформа'!G18+'Поток-1'!G17,"")</f>
        <v/>
      </c>
      <c r="H12" s="11">
        <f>IFERROR('Платформа'!H18+'Поток-1'!H17,"")</f>
        <v/>
      </c>
      <c r="I12" s="13">
        <f>IFERROR(H12/H4,"")</f>
        <v/>
      </c>
      <c r="J12" s="11">
        <f>IFERROR('Платформа'!J18+'Поток-1'!J17,"")</f>
        <v/>
      </c>
      <c r="K12" s="11">
        <f>IFERROR('Платформа'!K18+'Поток-1'!K17,"")</f>
        <v/>
      </c>
      <c r="L12" s="13">
        <f>IFERROR(K12/K4,"")</f>
        <v/>
      </c>
      <c r="M12" s="11">
        <f>IFERROR('Платформа'!M18+'Поток-1'!M17,"")</f>
        <v/>
      </c>
      <c r="N12" s="11">
        <f>IFERROR('Платформа'!N18+'Поток-1'!N17,"")</f>
        <v/>
      </c>
      <c r="O12" s="13">
        <f>IFERROR(N12/N4,"")</f>
        <v/>
      </c>
      <c r="P12" s="11">
        <f>IFERROR('Платформа'!P18+'Поток-1'!P17,"")</f>
        <v/>
      </c>
      <c r="Q12" s="11">
        <f>IFERROR('Платформа'!Q18+'Поток-1'!Q17,"")</f>
        <v/>
      </c>
      <c r="R12" s="13">
        <f>IFERROR(Q12/Q4,"")</f>
        <v/>
      </c>
      <c r="S12" s="11">
        <f>IFERROR('Платформа'!S18+'Поток-1'!S17,"")</f>
        <v/>
      </c>
      <c r="T12" s="11">
        <f>IFERROR('Платформа'!T18+'Поток-1'!T17,"")</f>
        <v/>
      </c>
      <c r="U12" s="13">
        <f>IFERROR(T12/T4,"")</f>
        <v/>
      </c>
      <c r="V12" s="11">
        <f>IFERROR('Платформа'!V18+'Поток-1'!V17,"")</f>
        <v/>
      </c>
      <c r="W12" s="11">
        <f>IFERROR('Платформа'!W18+'Поток-1'!W17,"")</f>
        <v/>
      </c>
      <c r="X12" s="13">
        <f>IFERROR(W12/W4,"")</f>
        <v/>
      </c>
    </row>
    <row r="13">
      <c r="A13" s="14" t="inlineStr"/>
      <c r="B13" s="15" t="inlineStr">
        <is>
          <t>Маржинальная прибыль</t>
        </is>
      </c>
      <c r="C13" s="16" t="inlineStr">
        <is>
          <t>финансы</t>
        </is>
      </c>
      <c r="D13" s="17">
        <f>IFERROR(D4-D5,"")</f>
        <v/>
      </c>
      <c r="E13" s="17">
        <f>IFERROR(E4-E5,"")</f>
        <v/>
      </c>
      <c r="F13" s="18">
        <f>IFERROR(E13/E4,"")</f>
        <v/>
      </c>
      <c r="G13" s="17">
        <f>IFERROR(G4-G5,"")</f>
        <v/>
      </c>
      <c r="H13" s="17">
        <f>IFERROR(H4-H5,"")</f>
        <v/>
      </c>
      <c r="I13" s="18">
        <f>IFERROR(H13/H4,"")</f>
        <v/>
      </c>
      <c r="J13" s="17">
        <f>IFERROR(J4-J5,"")</f>
        <v/>
      </c>
      <c r="K13" s="17">
        <f>IFERROR(K4-K5,"")</f>
        <v/>
      </c>
      <c r="L13" s="18">
        <f>IFERROR(K13/K4,"")</f>
        <v/>
      </c>
      <c r="M13" s="17">
        <f>IFERROR(M4-M5,"")</f>
        <v/>
      </c>
      <c r="N13" s="17">
        <f>IFERROR(N4-N5,"")</f>
        <v/>
      </c>
      <c r="O13" s="18">
        <f>IFERROR(N13/N4,"")</f>
        <v/>
      </c>
      <c r="P13" s="17">
        <f>IFERROR(P4-P5,"")</f>
        <v/>
      </c>
      <c r="Q13" s="17">
        <f>IFERROR(Q4-Q5,"")</f>
        <v/>
      </c>
      <c r="R13" s="18">
        <f>IFERROR(Q13/Q4,"")</f>
        <v/>
      </c>
      <c r="S13" s="17">
        <f>IFERROR(S4-S5,"")</f>
        <v/>
      </c>
      <c r="T13" s="17">
        <f>IFERROR(T4-T5,"")</f>
        <v/>
      </c>
      <c r="U13" s="18">
        <f>IFERROR(T13/T4,"")</f>
        <v/>
      </c>
      <c r="V13" s="19">
        <f>IFERROR(V4-V5,"")</f>
        <v/>
      </c>
      <c r="W13" s="19">
        <f>IFERROR(W4-W5,"")</f>
        <v/>
      </c>
      <c r="X13" s="18">
        <f>IFERROR(W13/W4,"")</f>
        <v/>
      </c>
    </row>
  </sheetData>
  <mergeCells count="8">
    <mergeCell ref="D2:F2"/>
    <mergeCell ref="G2:I2"/>
    <mergeCell ref="J2:L2"/>
    <mergeCell ref="P2:R2"/>
    <mergeCell ref="A1:X1"/>
    <mergeCell ref="M2:O2"/>
    <mergeCell ref="S2:U2"/>
    <mergeCell ref="V2:X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9" t="inlineStr">
        <is>
          <t>D3-SPC-01 · P&amp;L MainExperts по потокам — структура присланного файла, наши продукты</t>
        </is>
      </c>
    </row>
    <row r="2">
      <c r="A2" s="30" t="inlineStr"/>
    </row>
    <row r="3">
      <c r="A3" s="30" t="inlineStr">
        <is>
          <t>Цвета (как в оригинале): зелёный — Выручка всего / Маржинальная прибыль; красный — Расходы;</t>
        </is>
      </c>
    </row>
    <row r="4">
      <c r="A4" s="30" t="inlineStr">
        <is>
          <t>серый — считается автоматически (не заполнять); белое — ввод основателя; жёлтый/синий — метка воронки.</t>
        </is>
      </c>
    </row>
    <row r="5">
      <c r="A5" s="30" t="inlineStr"/>
    </row>
    <row r="6">
      <c r="A6" s="30" t="inlineStr">
        <is>
          <t>Структура повторяет присланный P&amp;L (розница). Каналы заменены: «Сайт» → «Платформа» (Поток-2);</t>
        </is>
      </c>
    </row>
    <row r="7">
      <c r="A7" s="30" t="inlineStr">
        <is>
          <t>личные продажи → «Поток-1» (агентство, 2 менеджера: лиды→созвоны→оплаты→суммы); «Свод» по двум потокам.</t>
        </is>
      </c>
    </row>
    <row r="8">
      <c r="A8" s="30" t="inlineStr">
        <is>
          <t>ФОТ Платформы — единая строка на всю команду платформы (разработка, маркетинг, владелец, Саша, Вадим).</t>
        </is>
      </c>
    </row>
    <row r="9">
      <c r="A9" s="30" t="inlineStr"/>
    </row>
    <row r="10">
      <c r="A10" s="29" t="inlineStr">
        <is>
          <t>Честно: объёмы/суммы — ввод основателя; эквайринг 10% (Робокасса, docs/06); пороги/цели не заданы.</t>
        </is>
      </c>
    </row>
    <row r="11">
      <c r="A11" s="30" t="inlineStr">
        <is>
          <t>Формулы (конверсии, CAC, маржа, свод) считаются автоматически (IFERROR). План/Факт помесячно + Год.</t>
        </is>
      </c>
    </row>
    <row r="12">
      <c r="A12" s="30" t="inlineStr">
        <is>
          <t>Оговорка: чистую юнит-экономику потоков обычно не смешивают; «Свод» консолидирует по запросу основателя.</t>
        </is>
      </c>
    </row>
    <row r="13">
      <c r="A13" s="30" t="inlineStr">
        <is>
          <t>Источники: docs/dms/documents/D3-SPC-01__pnl-model.md · docs/06 · docs/01.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2026-07-12T15:48:55Z</dcterms:created>
  <dcterms:modified xsi:type="dcterms:W3CDTF">2026-07-12T15:48:55Z</dcterms:modified>
</cp:coreProperties>
</file>