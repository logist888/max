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ток-2" sheetId="1" state="visible" r:id="rId1"/>
    <sheet name="Поток-1" sheetId="2" state="visible" r:id="rId2"/>
    <sheet name="Свод" sheetId="3" state="visible" r:id="rId3"/>
    <sheet name="Справ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1A2B3E"/>
    </font>
    <font>
      <name val="Consolas"/>
      <color rgb="006F889F"/>
      <sz val="9"/>
    </font>
    <font>
      <color rgb="006F889F"/>
      <sz val="9"/>
    </font>
    <font>
      <b val="1"/>
    </font>
  </fonts>
  <fills count="6">
    <fill>
      <patternFill/>
    </fill>
    <fill>
      <patternFill patternType="gray125"/>
    </fill>
    <fill>
      <patternFill patternType="solid">
        <fgColor rgb="001A2B3E"/>
      </patternFill>
    </fill>
    <fill>
      <patternFill patternType="solid">
        <fgColor rgb="00DCE6F1"/>
      </patternFill>
    </fill>
    <fill>
      <patternFill patternType="solid">
        <fgColor rgb="00FFF7DA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3" fontId="0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3" fontId="6" fillId="5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1" customWidth="1" min="11" max="11"/>
  </cols>
  <sheetData>
    <row r="1">
      <c r="A1" s="1" t="inlineStr">
        <is>
          <t>MainExperts · P&amp;L · Поток-2 (воронка, самообслуживание) · ₽ · факт вводит основатель (жёлтое — ввод)</t>
        </is>
      </c>
    </row>
    <row r="2">
      <c r="A2" s="2" t="inlineStr">
        <is>
          <t>Код</t>
        </is>
      </c>
      <c r="B2" s="2" t="inlineStr">
        <is>
          <t>Статья / метрика</t>
        </is>
      </c>
      <c r="C2" s="2" t="inlineStr">
        <is>
          <t>Направление</t>
        </is>
      </c>
      <c r="D2" s="3" t="inlineStr">
        <is>
          <t>июл.26</t>
        </is>
      </c>
      <c r="E2" s="3" t="inlineStr">
        <is>
          <t>авг.26</t>
        </is>
      </c>
      <c r="F2" s="3" t="inlineStr">
        <is>
          <t>сен.26</t>
        </is>
      </c>
      <c r="G2" s="3" t="inlineStr">
        <is>
          <t>окт.26</t>
        </is>
      </c>
      <c r="H2" s="3" t="inlineStr">
        <is>
          <t>ноя.26</t>
        </is>
      </c>
      <c r="I2" s="3" t="inlineStr">
        <is>
          <t>дек.26</t>
        </is>
      </c>
      <c r="J2" s="3" t="inlineStr">
        <is>
          <t>Год</t>
        </is>
      </c>
      <c r="K2" s="3" t="inlineStr">
        <is>
          <t>% выр.</t>
        </is>
      </c>
    </row>
    <row r="3">
      <c r="A3" s="4" t="inlineStr">
        <is>
          <t>ВОРОНКА — драйверы выручки</t>
        </is>
      </c>
    </row>
    <row r="4">
      <c r="A4" s="5" t="inlineStr">
        <is>
          <t>KPI-VISITS</t>
        </is>
      </c>
      <c r="B4" s="6" t="inlineStr">
        <is>
          <t>Визиты (трафик)</t>
        </is>
      </c>
      <c r="C4" s="7" t="inlineStr">
        <is>
          <t>маркетинг</t>
        </is>
      </c>
      <c r="D4" s="8" t="n"/>
      <c r="E4" s="8" t="n"/>
      <c r="F4" s="8" t="n"/>
      <c r="G4" s="8" t="n"/>
      <c r="H4" s="8" t="n"/>
      <c r="I4" s="8" t="n"/>
      <c r="J4" s="9">
        <f>IFERROR(SUM(D4:I4),"")</f>
        <v/>
      </c>
    </row>
    <row r="5">
      <c r="A5" s="5" t="inlineStr">
        <is>
          <t>KPI-SCREEN</t>
        </is>
      </c>
      <c r="B5" s="6" t="inlineStr">
        <is>
          <t>Скрининги пройдены</t>
        </is>
      </c>
      <c r="C5" s="7" t="inlineStr">
        <is>
          <t>маркетинг</t>
        </is>
      </c>
      <c r="D5" s="8" t="n"/>
      <c r="E5" s="8" t="n"/>
      <c r="F5" s="8" t="n"/>
      <c r="G5" s="8" t="n"/>
      <c r="H5" s="8" t="n"/>
      <c r="I5" s="8" t="n"/>
      <c r="J5" s="9">
        <f>IFERROR(SUM(D5:I5),"")</f>
        <v/>
      </c>
    </row>
    <row r="6">
      <c r="A6" s="5" t="inlineStr">
        <is>
          <t>KPI-CR</t>
        </is>
      </c>
      <c r="B6" s="6" t="inlineStr">
        <is>
          <t>CR визит→скрининг</t>
        </is>
      </c>
      <c r="C6" s="7" t="inlineStr">
        <is>
          <t>маркетинг</t>
        </is>
      </c>
      <c r="D6" s="10">
        <f>IFERROR(D5/D4,"")</f>
        <v/>
      </c>
      <c r="E6" s="10">
        <f>IFERROR(E5/E4,"")</f>
        <v/>
      </c>
      <c r="F6" s="10">
        <f>IFERROR(F5/F4,"")</f>
        <v/>
      </c>
      <c r="G6" s="10">
        <f>IFERROR(G5/G4,"")</f>
        <v/>
      </c>
      <c r="H6" s="10">
        <f>IFERROR(H5/H4,"")</f>
        <v/>
      </c>
      <c r="I6" s="10">
        <f>IFERROR(I5/I4,"")</f>
        <v/>
      </c>
      <c r="J6" s="10">
        <f>IFERROR(J5/J4,"")</f>
        <v/>
      </c>
    </row>
    <row r="7">
      <c r="A7" s="5" t="inlineStr">
        <is>
          <t>KPI-PAY</t>
        </is>
      </c>
      <c r="B7" s="6" t="inlineStr">
        <is>
          <t>Диагностика 50 000 ₽ — оплат</t>
        </is>
      </c>
      <c r="C7" s="7" t="inlineStr">
        <is>
          <t>продажи</t>
        </is>
      </c>
      <c r="D7" s="8" t="n"/>
      <c r="E7" s="8" t="n"/>
      <c r="F7" s="8" t="n"/>
      <c r="G7" s="8" t="n"/>
      <c r="H7" s="8" t="n"/>
      <c r="I7" s="8" t="n"/>
      <c r="J7" s="9">
        <f>IFERROR(SUM(D7:I7),"")</f>
        <v/>
      </c>
    </row>
    <row r="8">
      <c r="A8" s="5" t="inlineStr"/>
      <c r="B8" s="6" t="inlineStr">
        <is>
          <t>Подписка Pro 2 990 ₽/мес — активных</t>
        </is>
      </c>
      <c r="C8" s="7" t="inlineStr">
        <is>
          <t>продукт</t>
        </is>
      </c>
      <c r="D8" s="8" t="n"/>
      <c r="E8" s="8" t="n"/>
      <c r="F8" s="8" t="n"/>
      <c r="G8" s="8" t="n"/>
      <c r="H8" s="8" t="n"/>
      <c r="I8" s="8" t="n"/>
      <c r="J8" s="9">
        <f>IFERROR(SUM(D8:I8),"")</f>
        <v/>
      </c>
    </row>
    <row r="9">
      <c r="A9" s="5" t="inlineStr"/>
      <c r="B9" s="6" t="inlineStr">
        <is>
          <t>Подписка Ultima 9 990 ₽/мес — активных</t>
        </is>
      </c>
      <c r="C9" s="7" t="inlineStr">
        <is>
          <t>продукт</t>
        </is>
      </c>
      <c r="D9" s="8" t="n"/>
      <c r="E9" s="8" t="n"/>
      <c r="F9" s="8" t="n"/>
      <c r="G9" s="8" t="n"/>
      <c r="H9" s="8" t="n"/>
      <c r="I9" s="8" t="n"/>
      <c r="J9" s="9">
        <f>IFERROR(SUM(D9:I9),"")</f>
        <v/>
      </c>
    </row>
    <row r="10">
      <c r="A10" s="5" t="inlineStr">
        <is>
          <t>KPI-PAY</t>
        </is>
      </c>
      <c r="B10" s="11" t="inlineStr">
        <is>
          <t>Оплаты всего</t>
        </is>
      </c>
      <c r="C10" s="7" t="inlineStr">
        <is>
          <t>продажи</t>
        </is>
      </c>
      <c r="D10" s="9">
        <f>IFERROR(D7+D8+D9,"")</f>
        <v/>
      </c>
      <c r="E10" s="9">
        <f>IFERROR(E7+E8+E9,"")</f>
        <v/>
      </c>
      <c r="F10" s="9">
        <f>IFERROR(F7+F8+F9,"")</f>
        <v/>
      </c>
      <c r="G10" s="9">
        <f>IFERROR(G7+G8+G9,"")</f>
        <v/>
      </c>
      <c r="H10" s="9">
        <f>IFERROR(H7+H8+H9,"")</f>
        <v/>
      </c>
      <c r="I10" s="9">
        <f>IFERROR(I7+I8+I9,"")</f>
        <v/>
      </c>
      <c r="J10" s="12">
        <f>IFERROR(SUM(D10:I10),"")</f>
        <v/>
      </c>
    </row>
    <row r="11">
      <c r="A11" s="5" t="inlineStr">
        <is>
          <t>KPI-CR</t>
        </is>
      </c>
      <c r="B11" s="6" t="inlineStr">
        <is>
          <t>CR скрининг→оплата</t>
        </is>
      </c>
      <c r="C11" s="7" t="inlineStr">
        <is>
          <t>маркетинг</t>
        </is>
      </c>
      <c r="D11" s="10">
        <f>IFERROR(D10/D5,"")</f>
        <v/>
      </c>
      <c r="E11" s="10">
        <f>IFERROR(E10/E5,"")</f>
        <v/>
      </c>
      <c r="F11" s="10">
        <f>IFERROR(F10/F5,"")</f>
        <v/>
      </c>
      <c r="G11" s="10">
        <f>IFERROR(G10/G5,"")</f>
        <v/>
      </c>
      <c r="H11" s="10">
        <f>IFERROR(H10/H5,"")</f>
        <v/>
      </c>
      <c r="I11" s="10">
        <f>IFERROR(I10/I5,"")</f>
        <v/>
      </c>
      <c r="J11" s="10">
        <f>IFERROR(J10/J5,"")</f>
        <v/>
      </c>
    </row>
    <row r="12">
      <c r="A12" s="4" t="inlineStr">
        <is>
          <t>ВЫРУЧКА, ₽</t>
        </is>
      </c>
    </row>
    <row r="13">
      <c r="A13" s="5" t="inlineStr"/>
      <c r="B13" s="6" t="inlineStr">
        <is>
          <t>Выручка Диагностика</t>
        </is>
      </c>
      <c r="C13" s="7" t="inlineStr">
        <is>
          <t>финансы</t>
        </is>
      </c>
      <c r="D13" s="9">
        <f>IFERROR(D7*50000,"")</f>
        <v/>
      </c>
      <c r="E13" s="9">
        <f>IFERROR(E7*50000,"")</f>
        <v/>
      </c>
      <c r="F13" s="9">
        <f>IFERROR(F7*50000,"")</f>
        <v/>
      </c>
      <c r="G13" s="9">
        <f>IFERROR(G7*50000,"")</f>
        <v/>
      </c>
      <c r="H13" s="9">
        <f>IFERROR(H7*50000,"")</f>
        <v/>
      </c>
      <c r="I13" s="9">
        <f>IFERROR(I7*50000,"")</f>
        <v/>
      </c>
      <c r="J13" s="9">
        <f>IFERROR(SUM(D13:I13),"")</f>
        <v/>
      </c>
      <c r="K13" s="10">
        <f>IFERROR(J13/J17,"")</f>
        <v/>
      </c>
    </row>
    <row r="14">
      <c r="A14" s="5" t="inlineStr"/>
      <c r="B14" s="6" t="inlineStr">
        <is>
          <t>Выручка Pro (MRR)</t>
        </is>
      </c>
      <c r="C14" s="7" t="inlineStr">
        <is>
          <t>финансы</t>
        </is>
      </c>
      <c r="D14" s="9">
        <f>IFERROR(D8*2990,"")</f>
        <v/>
      </c>
      <c r="E14" s="9">
        <f>IFERROR(E8*2990,"")</f>
        <v/>
      </c>
      <c r="F14" s="9">
        <f>IFERROR(F8*2990,"")</f>
        <v/>
      </c>
      <c r="G14" s="9">
        <f>IFERROR(G8*2990,"")</f>
        <v/>
      </c>
      <c r="H14" s="9">
        <f>IFERROR(H8*2990,"")</f>
        <v/>
      </c>
      <c r="I14" s="9">
        <f>IFERROR(I8*2990,"")</f>
        <v/>
      </c>
      <c r="J14" s="9">
        <f>IFERROR(SUM(D14:I14),"")</f>
        <v/>
      </c>
      <c r="K14" s="10">
        <f>IFERROR(J14/J17,"")</f>
        <v/>
      </c>
    </row>
    <row r="15">
      <c r="A15" s="5" t="inlineStr"/>
      <c r="B15" s="6" t="inlineStr">
        <is>
          <t>Выручка Ultima (MRR)</t>
        </is>
      </c>
      <c r="C15" s="7" t="inlineStr">
        <is>
          <t>финансы</t>
        </is>
      </c>
      <c r="D15" s="9">
        <f>IFERROR(D9*9990,"")</f>
        <v/>
      </c>
      <c r="E15" s="9">
        <f>IFERROR(E9*9990,"")</f>
        <v/>
      </c>
      <c r="F15" s="9">
        <f>IFERROR(F9*9990,"")</f>
        <v/>
      </c>
      <c r="G15" s="9">
        <f>IFERROR(G9*9990,"")</f>
        <v/>
      </c>
      <c r="H15" s="9">
        <f>IFERROR(H9*9990,"")</f>
        <v/>
      </c>
      <c r="I15" s="9">
        <f>IFERROR(I9*9990,"")</f>
        <v/>
      </c>
      <c r="J15" s="9">
        <f>IFERROR(SUM(D15:I15),"")</f>
        <v/>
      </c>
      <c r="K15" s="10">
        <f>IFERROR(J15/J17,"")</f>
        <v/>
      </c>
    </row>
    <row r="16">
      <c r="A16" s="5" t="inlineStr"/>
      <c r="B16" s="6" t="inlineStr">
        <is>
          <t>Выручка Профиль 360 / прочее (цена не зафиксирована)</t>
        </is>
      </c>
      <c r="C16" s="7" t="inlineStr">
        <is>
          <t>финансы</t>
        </is>
      </c>
      <c r="D16" s="8" t="n"/>
      <c r="E16" s="8" t="n"/>
      <c r="F16" s="8" t="n"/>
      <c r="G16" s="8" t="n"/>
      <c r="H16" s="8" t="n"/>
      <c r="I16" s="8" t="n"/>
      <c r="J16" s="9">
        <f>IFERROR(SUM(D16:I16),"")</f>
        <v/>
      </c>
      <c r="K16" s="10">
        <f>IFERROR(J16/J17,"")</f>
        <v/>
      </c>
    </row>
    <row r="17">
      <c r="A17" s="5" t="inlineStr">
        <is>
          <t>KPI-REV-P2</t>
        </is>
      </c>
      <c r="B17" s="11" t="inlineStr">
        <is>
          <t>Выручка П2 всего</t>
        </is>
      </c>
      <c r="C17" s="7" t="inlineStr">
        <is>
          <t>финансы</t>
        </is>
      </c>
      <c r="D17" s="9">
        <f>IFERROR(D13+D14+D15+D16,"")</f>
        <v/>
      </c>
      <c r="E17" s="9">
        <f>IFERROR(E13+E14+E15+E16,"")</f>
        <v/>
      </c>
      <c r="F17" s="9">
        <f>IFERROR(F13+F14+F15+F16,"")</f>
        <v/>
      </c>
      <c r="G17" s="9">
        <f>IFERROR(G13+G14+G15+G16,"")</f>
        <v/>
      </c>
      <c r="H17" s="9">
        <f>IFERROR(H13+H14+H15+H16,"")</f>
        <v/>
      </c>
      <c r="I17" s="9">
        <f>IFERROR(I13+I14+I15+I16,"")</f>
        <v/>
      </c>
      <c r="J17" s="12">
        <f>IFERROR(SUM(D17:I17),"")</f>
        <v/>
      </c>
    </row>
    <row r="18">
      <c r="A18" s="4" t="inlineStr">
        <is>
          <t>РАСХОДЫ П2, ₽</t>
        </is>
      </c>
    </row>
    <row r="19">
      <c r="A19" s="5" t="inlineStr"/>
      <c r="B19" s="6" t="inlineStr">
        <is>
          <t>Рекламный бюджет (платный трафик)</t>
        </is>
      </c>
      <c r="C19" s="7" t="inlineStr">
        <is>
          <t>маркетинг</t>
        </is>
      </c>
      <c r="D19" s="8" t="n"/>
      <c r="E19" s="8" t="n"/>
      <c r="F19" s="8" t="n"/>
      <c r="G19" s="8" t="n"/>
      <c r="H19" s="8" t="n"/>
      <c r="I19" s="8" t="n"/>
      <c r="J19" s="9">
        <f>IFERROR(SUM(D19:I19),"")</f>
        <v/>
      </c>
      <c r="K19" s="10">
        <f>IFERROR(J19/J17,"")</f>
        <v/>
      </c>
    </row>
    <row r="20">
      <c r="A20" s="5" t="inlineStr">
        <is>
          <t>ДРР</t>
        </is>
      </c>
      <c r="B20" s="6" t="inlineStr">
        <is>
          <t>ДРР — доля рекл. расходов</t>
        </is>
      </c>
      <c r="C20" s="7" t="inlineStr">
        <is>
          <t>маркетинг</t>
        </is>
      </c>
      <c r="D20" s="10">
        <f>IFERROR(D19/D17,"")</f>
        <v/>
      </c>
      <c r="E20" s="10">
        <f>IFERROR(E19/E17,"")</f>
        <v/>
      </c>
      <c r="F20" s="10">
        <f>IFERROR(F19/F17,"")</f>
        <v/>
      </c>
      <c r="G20" s="10">
        <f>IFERROR(G19/G17,"")</f>
        <v/>
      </c>
      <c r="H20" s="10">
        <f>IFERROR(H19/H17,"")</f>
        <v/>
      </c>
      <c r="I20" s="10">
        <f>IFERROR(I19/I17,"")</f>
        <v/>
      </c>
      <c r="J20" s="10">
        <f>IFERROR(J19/J17,"")</f>
        <v/>
      </c>
    </row>
    <row r="21">
      <c r="A21" s="5" t="inlineStr">
        <is>
          <t>KPI-CAC</t>
        </is>
      </c>
      <c r="B21" s="6" t="inlineStr">
        <is>
          <t>CAC — ₽ на оплату</t>
        </is>
      </c>
      <c r="C21" s="7" t="inlineStr">
        <is>
          <t>маркетинг</t>
        </is>
      </c>
      <c r="D21" s="9">
        <f>IFERROR(D19/D10,"")</f>
        <v/>
      </c>
      <c r="E21" s="9">
        <f>IFERROR(E19/E10,"")</f>
        <v/>
      </c>
      <c r="F21" s="9">
        <f>IFERROR(F19/F10,"")</f>
        <v/>
      </c>
      <c r="G21" s="9">
        <f>IFERROR(G19/G10,"")</f>
        <v/>
      </c>
      <c r="H21" s="9">
        <f>IFERROR(H19/H10,"")</f>
        <v/>
      </c>
      <c r="I21" s="9">
        <f>IFERROR(I19/I10,"")</f>
        <v/>
      </c>
      <c r="J21" s="9">
        <f>IFERROR(J19/J10,"")</f>
        <v/>
      </c>
    </row>
    <row r="22">
      <c r="A22" s="5" t="inlineStr"/>
      <c r="B22" s="6" t="inlineStr">
        <is>
          <t>Эквайринг (Робокасса 10%)</t>
        </is>
      </c>
      <c r="C22" s="7" t="inlineStr">
        <is>
          <t>финансы</t>
        </is>
      </c>
      <c r="D22" s="9">
        <f>IFERROR(D17*0.1,"")</f>
        <v/>
      </c>
      <c r="E22" s="9">
        <f>IFERROR(E17*0.1,"")</f>
        <v/>
      </c>
      <c r="F22" s="9">
        <f>IFERROR(F17*0.1,"")</f>
        <v/>
      </c>
      <c r="G22" s="9">
        <f>IFERROR(G17*0.1,"")</f>
        <v/>
      </c>
      <c r="H22" s="9">
        <f>IFERROR(H17*0.1,"")</f>
        <v/>
      </c>
      <c r="I22" s="9">
        <f>IFERROR(I17*0.1,"")</f>
        <v/>
      </c>
      <c r="J22" s="9">
        <f>IFERROR(SUM(D22:I22),"")</f>
        <v/>
      </c>
      <c r="K22" s="10">
        <f>IFERROR(J22/J17,"")</f>
        <v/>
      </c>
    </row>
    <row r="23">
      <c r="A23" s="5" t="inlineStr"/>
      <c r="B23" s="6" t="inlineStr">
        <is>
          <t>AI-стоимость (OpenRouter, генерация отчётов)</t>
        </is>
      </c>
      <c r="C23" s="7" t="inlineStr">
        <is>
          <t>разработка</t>
        </is>
      </c>
      <c r="D23" s="8" t="n"/>
      <c r="E23" s="8" t="n"/>
      <c r="F23" s="8" t="n"/>
      <c r="G23" s="8" t="n"/>
      <c r="H23" s="8" t="n"/>
      <c r="I23" s="8" t="n"/>
      <c r="J23" s="9">
        <f>IFERROR(SUM(D23:I23),"")</f>
        <v/>
      </c>
      <c r="K23" s="10">
        <f>IFERROR(J23/J17,"")</f>
        <v/>
      </c>
    </row>
    <row r="24">
      <c r="A24" s="5" t="inlineStr"/>
      <c r="B24" s="6" t="inlineStr">
        <is>
          <t>Инструменты/сервисы (GetCourse, хостинг, аналитика)</t>
        </is>
      </c>
      <c r="C24" s="7" t="inlineStr">
        <is>
          <t>маркетинг</t>
        </is>
      </c>
      <c r="D24" s="8" t="n"/>
      <c r="E24" s="8" t="n"/>
      <c r="F24" s="8" t="n"/>
      <c r="G24" s="8" t="n"/>
      <c r="H24" s="8" t="n"/>
      <c r="I24" s="8" t="n"/>
      <c r="J24" s="9">
        <f>IFERROR(SUM(D24:I24),"")</f>
        <v/>
      </c>
      <c r="K24" s="10">
        <f>IFERROR(J24/J17,"")</f>
        <v/>
      </c>
    </row>
    <row r="25">
      <c r="A25" s="5" t="inlineStr"/>
      <c r="B25" s="6" t="inlineStr">
        <is>
          <t>ФОТ (доля Потока-2)</t>
        </is>
      </c>
      <c r="C25" s="7" t="inlineStr">
        <is>
          <t>операционка</t>
        </is>
      </c>
      <c r="D25" s="8" t="n"/>
      <c r="E25" s="8" t="n"/>
      <c r="F25" s="8" t="n"/>
      <c r="G25" s="8" t="n"/>
      <c r="H25" s="8" t="n"/>
      <c r="I25" s="8" t="n"/>
      <c r="J25" s="9">
        <f>IFERROR(SUM(D25:I25),"")</f>
        <v/>
      </c>
      <c r="K25" s="10">
        <f>IFERROR(J25/J17,"")</f>
        <v/>
      </c>
    </row>
    <row r="26">
      <c r="A26" s="5" t="inlineStr"/>
      <c r="B26" s="6" t="inlineStr">
        <is>
          <t>Административные</t>
        </is>
      </c>
      <c r="C26" s="7" t="inlineStr">
        <is>
          <t>финансы</t>
        </is>
      </c>
      <c r="D26" s="8" t="n"/>
      <c r="E26" s="8" t="n"/>
      <c r="F26" s="8" t="n"/>
      <c r="G26" s="8" t="n"/>
      <c r="H26" s="8" t="n"/>
      <c r="I26" s="8" t="n"/>
      <c r="J26" s="9">
        <f>IFERROR(SUM(D26:I26),"")</f>
        <v/>
      </c>
      <c r="K26" s="10">
        <f>IFERROR(J26/J17,"")</f>
        <v/>
      </c>
    </row>
    <row r="27">
      <c r="A27" s="5" t="inlineStr"/>
      <c r="B27" s="11" t="inlineStr">
        <is>
          <t>Расходы П2 всего</t>
        </is>
      </c>
      <c r="C27" s="7" t="inlineStr">
        <is>
          <t>финансы</t>
        </is>
      </c>
      <c r="D27" s="9">
        <f>IFERROR(D19+D22+D23+D24+D25+D26,"")</f>
        <v/>
      </c>
      <c r="E27" s="9">
        <f>IFERROR(E19+E22+E23+E24+E25+E26,"")</f>
        <v/>
      </c>
      <c r="F27" s="9">
        <f>IFERROR(F19+F22+F23+F24+F25+F26,"")</f>
        <v/>
      </c>
      <c r="G27" s="9">
        <f>IFERROR(G19+G22+G23+G24+G25+G26,"")</f>
        <v/>
      </c>
      <c r="H27" s="9">
        <f>IFERROR(H19+H22+H23+H24+H25+H26,"")</f>
        <v/>
      </c>
      <c r="I27" s="9">
        <f>IFERROR(I19+I22+I23+I24+I25+I26,"")</f>
        <v/>
      </c>
      <c r="J27" s="12">
        <f>IFERROR(SUM(D27:I27),"")</f>
        <v/>
      </c>
      <c r="K27" s="10">
        <f>IFERROR(J27/J17,"")</f>
        <v/>
      </c>
    </row>
    <row r="28">
      <c r="A28" s="5" t="inlineStr"/>
      <c r="B28" s="11" t="inlineStr">
        <is>
          <t>Contribution П2 (выручка − перем.)</t>
        </is>
      </c>
      <c r="C28" s="7" t="inlineStr">
        <is>
          <t>финансы</t>
        </is>
      </c>
      <c r="D28" s="9">
        <f>IFERROR(D17-(D19+D22+D23),"")</f>
        <v/>
      </c>
      <c r="E28" s="9">
        <f>IFERROR(E17-(E19+E22+E23),"")</f>
        <v/>
      </c>
      <c r="F28" s="9">
        <f>IFERROR(F17-(F19+F22+F23),"")</f>
        <v/>
      </c>
      <c r="G28" s="9">
        <f>IFERROR(G17-(G19+G22+G23),"")</f>
        <v/>
      </c>
      <c r="H28" s="9">
        <f>IFERROR(H17-(H19+H22+H23),"")</f>
        <v/>
      </c>
      <c r="I28" s="9">
        <f>IFERROR(I17-(I19+I22+I23),"")</f>
        <v/>
      </c>
      <c r="J28" s="12">
        <f>IFERROR(SUM(D28:I28),"")</f>
        <v/>
      </c>
      <c r="K28" s="10">
        <f>IFERROR(J28/J17,"")</f>
        <v/>
      </c>
    </row>
    <row r="29">
      <c r="A29" s="5" t="inlineStr"/>
      <c r="B29" s="11" t="inlineStr">
        <is>
          <t>Маржинальная прибыль П2</t>
        </is>
      </c>
      <c r="C29" s="7" t="inlineStr">
        <is>
          <t>финансы</t>
        </is>
      </c>
      <c r="D29" s="9">
        <f>IFERROR(D17-D27,"")</f>
        <v/>
      </c>
      <c r="E29" s="9">
        <f>IFERROR(E17-E27,"")</f>
        <v/>
      </c>
      <c r="F29" s="9">
        <f>IFERROR(F17-F27,"")</f>
        <v/>
      </c>
      <c r="G29" s="9">
        <f>IFERROR(G17-G27,"")</f>
        <v/>
      </c>
      <c r="H29" s="9">
        <f>IFERROR(H17-H27,"")</f>
        <v/>
      </c>
      <c r="I29" s="9">
        <f>IFERROR(I17-I27,"")</f>
        <v/>
      </c>
      <c r="J29" s="12">
        <f>IFERROR(SUM(D29:I29),"")</f>
        <v/>
      </c>
      <c r="K29" s="10">
        <f>IFERROR(J29/J17,"")</f>
        <v/>
      </c>
    </row>
    <row r="30">
      <c r="A30" s="5" t="inlineStr"/>
      <c r="B30" s="6" t="inlineStr">
        <is>
          <t>Маржинальность П2</t>
        </is>
      </c>
      <c r="C30" s="7" t="inlineStr">
        <is>
          <t>финансы</t>
        </is>
      </c>
      <c r="D30" s="10">
        <f>IFERROR(D29/D17,"")</f>
        <v/>
      </c>
      <c r="E30" s="10">
        <f>IFERROR(E29/E17,"")</f>
        <v/>
      </c>
      <c r="F30" s="10">
        <f>IFERROR(F29/F17,"")</f>
        <v/>
      </c>
      <c r="G30" s="10">
        <f>IFERROR(G29/G17,"")</f>
        <v/>
      </c>
      <c r="H30" s="10">
        <f>IFERROR(H29/H17,"")</f>
        <v/>
      </c>
      <c r="I30" s="10">
        <f>IFERROR(I29/I17,"")</f>
        <v/>
      </c>
      <c r="J30" s="10">
        <f>IFERROR(J29/J17,"")</f>
        <v/>
      </c>
    </row>
    <row r="31">
      <c r="A31" s="4" t="inlineStr">
        <is>
          <t>ЮНИТ-ЭКОНОМИКА (П2)</t>
        </is>
      </c>
    </row>
    <row r="32">
      <c r="A32" s="5" t="inlineStr"/>
      <c r="B32" s="6" t="inlineStr">
        <is>
          <t>Выручка на 1 оплату</t>
        </is>
      </c>
      <c r="C32" s="7" t="inlineStr">
        <is>
          <t>финансы</t>
        </is>
      </c>
      <c r="D32" s="9">
        <f>IFERROR(D17/D10,"")</f>
        <v/>
      </c>
      <c r="E32" s="9">
        <f>IFERROR(E17/E10,"")</f>
        <v/>
      </c>
      <c r="F32" s="9">
        <f>IFERROR(F17/F10,"")</f>
        <v/>
      </c>
      <c r="G32" s="9">
        <f>IFERROR(G17/G10,"")</f>
        <v/>
      </c>
      <c r="H32" s="9">
        <f>IFERROR(H17/H10,"")</f>
        <v/>
      </c>
      <c r="I32" s="9">
        <f>IFERROR(I17/I10,"")</f>
        <v/>
      </c>
      <c r="J32" s="9">
        <f>IFERROR(J17/J10,"")</f>
        <v/>
      </c>
    </row>
    <row r="33">
      <c r="A33" s="5" t="inlineStr"/>
      <c r="B33" s="6" t="inlineStr">
        <is>
          <t>Contribution на 1 оплату</t>
        </is>
      </c>
      <c r="C33" s="7" t="inlineStr">
        <is>
          <t>финансы</t>
        </is>
      </c>
      <c r="D33" s="9">
        <f>IFERROR(D28/D10,"")</f>
        <v/>
      </c>
      <c r="E33" s="9">
        <f>IFERROR(E28/E10,"")</f>
        <v/>
      </c>
      <c r="F33" s="9">
        <f>IFERROR(F28/F10,"")</f>
        <v/>
      </c>
      <c r="G33" s="9">
        <f>IFERROR(G28/G10,"")</f>
        <v/>
      </c>
      <c r="H33" s="9">
        <f>IFERROR(H28/H10,"")</f>
        <v/>
      </c>
      <c r="I33" s="9">
        <f>IFERROR(I28/I10,"")</f>
        <v/>
      </c>
      <c r="J33" s="9">
        <f>IFERROR(J28/J10,"")</f>
        <v/>
      </c>
    </row>
    <row r="34">
      <c r="A34" s="5" t="inlineStr"/>
      <c r="B34" s="6" t="inlineStr">
        <is>
          <t>LTV подписчика (оценка, ₽)</t>
        </is>
      </c>
      <c r="C34" s="7" t="inlineStr">
        <is>
          <t>продукт</t>
        </is>
      </c>
      <c r="D34" s="8" t="n"/>
      <c r="E34" s="8" t="n"/>
      <c r="F34" s="8" t="n"/>
      <c r="G34" s="8" t="n"/>
      <c r="H34" s="8" t="n"/>
      <c r="I34" s="8" t="n"/>
      <c r="J34" s="9" t="n"/>
    </row>
    <row r="35">
      <c r="A35" s="5" t="inlineStr"/>
      <c r="B35" s="6" t="inlineStr">
        <is>
          <t>LTV / CAC</t>
        </is>
      </c>
      <c r="C35" s="7" t="inlineStr">
        <is>
          <t>продукт</t>
        </is>
      </c>
      <c r="D35" s="13">
        <f>IFERROR(D34/D21,"")</f>
        <v/>
      </c>
      <c r="E35" s="13">
        <f>IFERROR(E34/E21,"")</f>
        <v/>
      </c>
      <c r="F35" s="13">
        <f>IFERROR(F34/F21,"")</f>
        <v/>
      </c>
      <c r="G35" s="13">
        <f>IFERROR(G34/G21,"")</f>
        <v/>
      </c>
      <c r="H35" s="13">
        <f>IFERROR(H34/H21,"")</f>
        <v/>
      </c>
      <c r="I35" s="13">
        <f>IFERROR(I34/I21,"")</f>
        <v/>
      </c>
      <c r="J35" s="13">
        <f>IFERROR(J34/J21,"")</f>
        <v/>
      </c>
    </row>
  </sheetData>
  <mergeCells count="5">
    <mergeCell ref="A12:K12"/>
    <mergeCell ref="A18:K18"/>
    <mergeCell ref="A3:K3"/>
    <mergeCell ref="A1:K1"/>
    <mergeCell ref="A31:K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1" customWidth="1" min="11" max="11"/>
  </cols>
  <sheetData>
    <row r="1">
      <c r="A1" s="1" t="inlineStr">
        <is>
          <t>MainExperts · P&amp;L · Поток-1 (HNW, личные продажи основателя) · ₽ и £ РАЗДЕЛЬНО · факт вводит основатель</t>
        </is>
      </c>
    </row>
    <row r="2">
      <c r="A2" s="2" t="inlineStr">
        <is>
          <t>Код</t>
        </is>
      </c>
      <c r="B2" s="2" t="inlineStr">
        <is>
          <t>Статья / метрика</t>
        </is>
      </c>
      <c r="C2" s="2" t="inlineStr">
        <is>
          <t>Направление</t>
        </is>
      </c>
      <c r="D2" s="3" t="inlineStr">
        <is>
          <t>июл.26</t>
        </is>
      </c>
      <c r="E2" s="3" t="inlineStr">
        <is>
          <t>авг.26</t>
        </is>
      </c>
      <c r="F2" s="3" t="inlineStr">
        <is>
          <t>сен.26</t>
        </is>
      </c>
      <c r="G2" s="3" t="inlineStr">
        <is>
          <t>окт.26</t>
        </is>
      </c>
      <c r="H2" s="3" t="inlineStr">
        <is>
          <t>ноя.26</t>
        </is>
      </c>
      <c r="I2" s="3" t="inlineStr">
        <is>
          <t>дек.26</t>
        </is>
      </c>
      <c r="J2" s="3" t="inlineStr">
        <is>
          <t>Год</t>
        </is>
      </c>
      <c r="K2" s="3" t="inlineStr">
        <is>
          <t>% выр.</t>
        </is>
      </c>
    </row>
    <row r="3">
      <c r="A3" s="4" t="inlineStr">
        <is>
          <t>ВЫРУЧКА ₽ — премиальная лесенка (кол-во сделок)</t>
        </is>
      </c>
    </row>
    <row r="4">
      <c r="A4" s="5" t="inlineStr"/>
      <c r="B4" s="6" t="inlineStr">
        <is>
          <t>Пакет 50 000 ₽ — сделок</t>
        </is>
      </c>
      <c r="C4" s="7" t="inlineStr">
        <is>
          <t>основатель</t>
        </is>
      </c>
      <c r="D4" s="8" t="n"/>
      <c r="E4" s="8" t="n"/>
      <c r="F4" s="8" t="n"/>
      <c r="G4" s="8" t="n"/>
      <c r="H4" s="8" t="n"/>
      <c r="I4" s="8" t="n"/>
      <c r="J4" s="9">
        <f>IFERROR(SUM(D4:I4),"")</f>
        <v/>
      </c>
    </row>
    <row r="5">
      <c r="A5" s="5" t="inlineStr"/>
      <c r="B5" s="6" t="inlineStr">
        <is>
          <t>Пакет 150 000 ₽ — сделок</t>
        </is>
      </c>
      <c r="C5" s="7" t="inlineStr">
        <is>
          <t>основатель</t>
        </is>
      </c>
      <c r="D5" s="8" t="n"/>
      <c r="E5" s="8" t="n"/>
      <c r="F5" s="8" t="n"/>
      <c r="G5" s="8" t="n"/>
      <c r="H5" s="8" t="n"/>
      <c r="I5" s="8" t="n"/>
      <c r="J5" s="9">
        <f>IFERROR(SUM(D5:I5),"")</f>
        <v/>
      </c>
    </row>
    <row r="6">
      <c r="A6" s="5" t="inlineStr"/>
      <c r="B6" s="6" t="inlineStr">
        <is>
          <t>Пакет 500 000 ₽ — сделок</t>
        </is>
      </c>
      <c r="C6" s="7" t="inlineStr">
        <is>
          <t>основатель</t>
        </is>
      </c>
      <c r="D6" s="8" t="n"/>
      <c r="E6" s="8" t="n"/>
      <c r="F6" s="8" t="n"/>
      <c r="G6" s="8" t="n"/>
      <c r="H6" s="8" t="n"/>
      <c r="I6" s="8" t="n"/>
      <c r="J6" s="9">
        <f>IFERROR(SUM(D6:I6),"")</f>
        <v/>
      </c>
    </row>
    <row r="7">
      <c r="A7" s="5" t="inlineStr"/>
      <c r="B7" s="6" t="inlineStr">
        <is>
          <t>«Год рядом» 1 500 000 ₽ — сделок</t>
        </is>
      </c>
      <c r="C7" s="7" t="inlineStr">
        <is>
          <t>основатель</t>
        </is>
      </c>
      <c r="D7" s="8" t="n"/>
      <c r="E7" s="8" t="n"/>
      <c r="F7" s="8" t="n"/>
      <c r="G7" s="8" t="n"/>
      <c r="H7" s="8" t="n"/>
      <c r="I7" s="8" t="n"/>
      <c r="J7" s="9">
        <f>IFERROR(SUM(D7:I7),"")</f>
        <v/>
      </c>
    </row>
    <row r="8">
      <c r="A8" s="5" t="inlineStr"/>
      <c r="B8" s="6" t="inlineStr">
        <is>
          <t>Family Office 10 000 000 ₽ (до 7 мест) — сделок</t>
        </is>
      </c>
      <c r="C8" s="7" t="inlineStr">
        <is>
          <t>основатель</t>
        </is>
      </c>
      <c r="D8" s="8" t="n"/>
      <c r="E8" s="8" t="n"/>
      <c r="F8" s="8" t="n"/>
      <c r="G8" s="8" t="n"/>
      <c r="H8" s="8" t="n"/>
      <c r="I8" s="8" t="n"/>
      <c r="J8" s="9">
        <f>IFERROR(SUM(D8:I8),"")</f>
        <v/>
      </c>
    </row>
    <row r="9">
      <c r="A9" s="5" t="inlineStr">
        <is>
          <t>KPI-REV-P1</t>
        </is>
      </c>
      <c r="B9" s="11" t="inlineStr">
        <is>
          <t>Выручка П1 ₽ всего</t>
        </is>
      </c>
      <c r="C9" s="7" t="inlineStr">
        <is>
          <t>основатель</t>
        </is>
      </c>
      <c r="D9" s="9">
        <f>IFERROR(D4*50000+D5*150000+D6*500000+D7*1500000+D8*10000000,"")</f>
        <v/>
      </c>
      <c r="E9" s="9">
        <f>IFERROR(E4*50000+E5*150000+E6*500000+E7*1500000+E8*10000000,"")</f>
        <v/>
      </c>
      <c r="F9" s="9">
        <f>IFERROR(F4*50000+F5*150000+F6*500000+F7*1500000+F8*10000000,"")</f>
        <v/>
      </c>
      <c r="G9" s="9">
        <f>IFERROR(G4*50000+G5*150000+G6*500000+G7*1500000+G8*10000000,"")</f>
        <v/>
      </c>
      <c r="H9" s="9">
        <f>IFERROR(H4*50000+H5*150000+H6*500000+H7*1500000+H8*10000000,"")</f>
        <v/>
      </c>
      <c r="I9" s="9">
        <f>IFERROR(I4*50000+I5*150000+I6*500000+I7*1500000+I8*10000000,"")</f>
        <v/>
      </c>
      <c r="J9" s="12">
        <f>IFERROR(SUM(D9:I9),"")</f>
        <v/>
      </c>
    </row>
    <row r="10">
      <c r="A10" s="4" t="inlineStr">
        <is>
          <t>ВЫРУЧКА £ (UK-кейс) — НЕ конвертировать в ₽</t>
        </is>
      </c>
    </row>
    <row r="11">
      <c r="A11" s="5" t="inlineStr"/>
      <c r="B11" s="6" t="inlineStr">
        <is>
          <t>Профориентация £3 000 — сделок</t>
        </is>
      </c>
      <c r="C11" s="7" t="inlineStr">
        <is>
          <t>основатель</t>
        </is>
      </c>
      <c r="D11" s="8" t="n"/>
      <c r="E11" s="8" t="n"/>
      <c r="F11" s="8" t="n"/>
      <c r="G11" s="8" t="n"/>
      <c r="H11" s="8" t="n"/>
      <c r="I11" s="8" t="n"/>
      <c r="J11" s="9">
        <f>IFERROR(SUM(D11:I11),"")</f>
        <v/>
      </c>
    </row>
    <row r="12">
      <c r="A12" s="5" t="inlineStr"/>
      <c r="B12" s="6" t="inlineStr">
        <is>
          <t>UCAS £2 000 — сделок</t>
        </is>
      </c>
      <c r="C12" s="7" t="inlineStr">
        <is>
          <t>основатель</t>
        </is>
      </c>
      <c r="D12" s="8" t="n"/>
      <c r="E12" s="8" t="n"/>
      <c r="F12" s="8" t="n"/>
      <c r="G12" s="8" t="n"/>
      <c r="H12" s="8" t="n"/>
      <c r="I12" s="8" t="n"/>
      <c r="J12" s="9">
        <f>IFERROR(SUM(D12:I12),"")</f>
        <v/>
      </c>
    </row>
    <row r="13">
      <c r="A13" s="5" t="inlineStr"/>
      <c r="B13" s="6" t="inlineStr">
        <is>
          <t>Полный пакет £5 000 — сделок</t>
        </is>
      </c>
      <c r="C13" s="7" t="inlineStr">
        <is>
          <t>основатель</t>
        </is>
      </c>
      <c r="D13" s="8" t="n"/>
      <c r="E13" s="8" t="n"/>
      <c r="F13" s="8" t="n"/>
      <c r="G13" s="8" t="n"/>
      <c r="H13" s="8" t="n"/>
      <c r="I13" s="8" t="n"/>
      <c r="J13" s="9">
        <f>IFERROR(SUM(D13:I13),"")</f>
        <v/>
      </c>
    </row>
    <row r="14">
      <c r="A14" s="5" t="inlineStr">
        <is>
          <t>KPI-REV-P1</t>
        </is>
      </c>
      <c r="B14" s="11" t="inlineStr">
        <is>
          <t>Выручка П1 £ всего</t>
        </is>
      </c>
      <c r="C14" s="7" t="inlineStr">
        <is>
          <t>основатель</t>
        </is>
      </c>
      <c r="D14" s="9">
        <f>IFERROR(D11*3000+D12*2000+D13*5000,"")</f>
        <v/>
      </c>
      <c r="E14" s="9">
        <f>IFERROR(E11*3000+E12*2000+E13*5000,"")</f>
        <v/>
      </c>
      <c r="F14" s="9">
        <f>IFERROR(F11*3000+F12*2000+F13*5000,"")</f>
        <v/>
      </c>
      <c r="G14" s="9">
        <f>IFERROR(G11*3000+G12*2000+G13*5000,"")</f>
        <v/>
      </c>
      <c r="H14" s="9">
        <f>IFERROR(H11*3000+H12*2000+H13*5000,"")</f>
        <v/>
      </c>
      <c r="I14" s="9">
        <f>IFERROR(I11*3000+I12*2000+I13*5000,"")</f>
        <v/>
      </c>
      <c r="J14" s="12">
        <f>IFERROR(SUM(D14:I14),"")</f>
        <v/>
      </c>
    </row>
    <row r="15">
      <c r="A15" s="4" t="inlineStr">
        <is>
          <t>РАСХОДЫ П1 ₽ (канал — нетворк; рекламного бюджета нет)</t>
        </is>
      </c>
    </row>
    <row r="16">
      <c r="A16" s="5" t="inlineStr"/>
      <c r="B16" s="6" t="inlineStr">
        <is>
          <t>Время основателя / ФОТ (условно)</t>
        </is>
      </c>
      <c r="C16" s="7" t="inlineStr">
        <is>
          <t>основатель</t>
        </is>
      </c>
      <c r="D16" s="8" t="n"/>
      <c r="E16" s="8" t="n"/>
      <c r="F16" s="8" t="n"/>
      <c r="G16" s="8" t="n"/>
      <c r="H16" s="8" t="n"/>
      <c r="I16" s="8" t="n"/>
      <c r="J16" s="9">
        <f>IFERROR(SUM(D16:I16),"")</f>
        <v/>
      </c>
    </row>
    <row r="17">
      <c r="A17" s="5" t="inlineStr"/>
      <c r="B17" s="6" t="inlineStr">
        <is>
          <t>Представительские / нетворк</t>
        </is>
      </c>
      <c r="C17" s="7" t="inlineStr">
        <is>
          <t>основатель</t>
        </is>
      </c>
      <c r="D17" s="8" t="n"/>
      <c r="E17" s="8" t="n"/>
      <c r="F17" s="8" t="n"/>
      <c r="G17" s="8" t="n"/>
      <c r="H17" s="8" t="n"/>
      <c r="I17" s="8" t="n"/>
      <c r="J17" s="9">
        <f>IFERROR(SUM(D17:I17),"")</f>
        <v/>
      </c>
    </row>
    <row r="18">
      <c r="A18" s="5" t="inlineStr"/>
      <c r="B18" s="6" t="inlineStr">
        <is>
          <t>Эквайринг / банковские</t>
        </is>
      </c>
      <c r="C18" s="7" t="inlineStr">
        <is>
          <t>финансы</t>
        </is>
      </c>
      <c r="D18" s="8" t="n"/>
      <c r="E18" s="8" t="n"/>
      <c r="F18" s="8" t="n"/>
      <c r="G18" s="8" t="n"/>
      <c r="H18" s="8" t="n"/>
      <c r="I18" s="8" t="n"/>
      <c r="J18" s="9">
        <f>IFERROR(SUM(D18:I18),"")</f>
        <v/>
      </c>
    </row>
    <row r="19">
      <c r="A19" s="5" t="inlineStr"/>
      <c r="B19" s="11" t="inlineStr">
        <is>
          <t>Расходы П1 ₽ всего</t>
        </is>
      </c>
      <c r="C19" s="7" t="inlineStr">
        <is>
          <t>финансы</t>
        </is>
      </c>
      <c r="D19" s="9">
        <f>IFERROR(D16+D17+D18,"")</f>
        <v/>
      </c>
      <c r="E19" s="9">
        <f>IFERROR(E16+E17+E18,"")</f>
        <v/>
      </c>
      <c r="F19" s="9">
        <f>IFERROR(F16+F17+F18,"")</f>
        <v/>
      </c>
      <c r="G19" s="9">
        <f>IFERROR(G16+G17+G18,"")</f>
        <v/>
      </c>
      <c r="H19" s="9">
        <f>IFERROR(H16+H17+H18,"")</f>
        <v/>
      </c>
      <c r="I19" s="9">
        <f>IFERROR(I16+I17+I18,"")</f>
        <v/>
      </c>
      <c r="J19" s="12">
        <f>IFERROR(SUM(D19:I19),"")</f>
        <v/>
      </c>
    </row>
    <row r="20">
      <c r="A20" s="5" t="inlineStr"/>
      <c r="B20" s="11" t="inlineStr">
        <is>
          <t>Contribution П1 ₽</t>
        </is>
      </c>
      <c r="C20" s="7" t="inlineStr">
        <is>
          <t>финансы</t>
        </is>
      </c>
      <c r="D20" s="9">
        <f>IFERROR(D9-D19,"")</f>
        <v/>
      </c>
      <c r="E20" s="9">
        <f>IFERROR(E9-E19,"")</f>
        <v/>
      </c>
      <c r="F20" s="9">
        <f>IFERROR(F9-F19,"")</f>
        <v/>
      </c>
      <c r="G20" s="9">
        <f>IFERROR(G9-G19,"")</f>
        <v/>
      </c>
      <c r="H20" s="9">
        <f>IFERROR(H9-H19,"")</f>
        <v/>
      </c>
      <c r="I20" s="9">
        <f>IFERROR(I9-I19,"")</f>
        <v/>
      </c>
      <c r="J20" s="12">
        <f>IFERROR(SUM(D20:I20),"")</f>
        <v/>
      </c>
    </row>
    <row r="21">
      <c r="A21" s="5" t="inlineStr"/>
      <c r="B21" s="6" t="inlineStr">
        <is>
          <t>Маржинальность П1 ₽</t>
        </is>
      </c>
      <c r="C21" s="7" t="inlineStr">
        <is>
          <t>финансы</t>
        </is>
      </c>
      <c r="D21" s="10">
        <f>IFERROR(D20/D9,"")</f>
        <v/>
      </c>
      <c r="E21" s="10">
        <f>IFERROR(E20/E9,"")</f>
        <v/>
      </c>
      <c r="F21" s="10">
        <f>IFERROR(F20/F9,"")</f>
        <v/>
      </c>
      <c r="G21" s="10">
        <f>IFERROR(G20/G9,"")</f>
        <v/>
      </c>
      <c r="H21" s="10">
        <f>IFERROR(H20/H9,"")</f>
        <v/>
      </c>
      <c r="I21" s="10">
        <f>IFERROR(I20/I9,"")</f>
        <v/>
      </c>
      <c r="J21" s="10">
        <f>IFERROR(J20/J9,"")</f>
        <v/>
      </c>
    </row>
  </sheetData>
  <mergeCells count="4">
    <mergeCell ref="A10:K10"/>
    <mergeCell ref="A15:K15"/>
    <mergeCell ref="A1:K1"/>
    <mergeCell ref="A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1" customWidth="1" min="11" max="11"/>
  </cols>
  <sheetData>
    <row r="1">
      <c r="A1" s="1" t="inlineStr">
        <is>
          <t>MainExperts · P&amp;L · Свод · ⚠ выручка П1 и П2 НЕ суммируется · ₽ и £ раздельно</t>
        </is>
      </c>
    </row>
    <row r="2">
      <c r="A2" s="2" t="inlineStr">
        <is>
          <t>Код</t>
        </is>
      </c>
      <c r="B2" s="2" t="inlineStr">
        <is>
          <t>Статья / метрика</t>
        </is>
      </c>
      <c r="C2" s="2" t="inlineStr">
        <is>
          <t>Направление</t>
        </is>
      </c>
      <c r="D2" s="3" t="inlineStr">
        <is>
          <t>июл.26</t>
        </is>
      </c>
      <c r="E2" s="3" t="inlineStr">
        <is>
          <t>авг.26</t>
        </is>
      </c>
      <c r="F2" s="3" t="inlineStr">
        <is>
          <t>сен.26</t>
        </is>
      </c>
      <c r="G2" s="3" t="inlineStr">
        <is>
          <t>окт.26</t>
        </is>
      </c>
      <c r="H2" s="3" t="inlineStr">
        <is>
          <t>ноя.26</t>
        </is>
      </c>
      <c r="I2" s="3" t="inlineStr">
        <is>
          <t>дек.26</t>
        </is>
      </c>
      <c r="J2" s="3" t="inlineStr">
        <is>
          <t>Год</t>
        </is>
      </c>
      <c r="K2" s="3" t="inlineStr">
        <is>
          <t>% выр.</t>
        </is>
      </c>
    </row>
    <row r="3">
      <c r="A3" s="4" t="inlineStr">
        <is>
          <t>ВЫРУЧКА ПО ПОТОКАМ (раздельно — суммировать запрещено)</t>
        </is>
      </c>
    </row>
    <row r="4">
      <c r="A4" s="5" t="inlineStr">
        <is>
          <t>KPI-REV-P2</t>
        </is>
      </c>
      <c r="B4" s="11" t="inlineStr">
        <is>
          <t>Выручка П2, ₽</t>
        </is>
      </c>
      <c r="C4" s="7" t="inlineStr">
        <is>
          <t>финансы</t>
        </is>
      </c>
      <c r="D4" s="9">
        <f>IFERROR('Поток-2'!D17,"")</f>
        <v/>
      </c>
      <c r="E4" s="9">
        <f>IFERROR('Поток-2'!E17,"")</f>
        <v/>
      </c>
      <c r="F4" s="9">
        <f>IFERROR('Поток-2'!F17,"")</f>
        <v/>
      </c>
      <c r="G4" s="9">
        <f>IFERROR('Поток-2'!G17,"")</f>
        <v/>
      </c>
      <c r="H4" s="9">
        <f>IFERROR('Поток-2'!H17,"")</f>
        <v/>
      </c>
      <c r="I4" s="9">
        <f>IFERROR('Поток-2'!I17,"")</f>
        <v/>
      </c>
      <c r="J4" s="12">
        <f>IFERROR(SUM(D4:I4),"")</f>
        <v/>
      </c>
    </row>
    <row r="5">
      <c r="A5" s="5" t="inlineStr">
        <is>
          <t>KPI-REV-P1</t>
        </is>
      </c>
      <c r="B5" s="11" t="inlineStr">
        <is>
          <t>Выручка П1, ₽</t>
        </is>
      </c>
      <c r="C5" s="7" t="inlineStr">
        <is>
          <t>основатель</t>
        </is>
      </c>
      <c r="D5" s="9">
        <f>IFERROR('Поток-1'!D9,"")</f>
        <v/>
      </c>
      <c r="E5" s="9">
        <f>IFERROR('Поток-1'!E9,"")</f>
        <v/>
      </c>
      <c r="F5" s="9">
        <f>IFERROR('Поток-1'!F9,"")</f>
        <v/>
      </c>
      <c r="G5" s="9">
        <f>IFERROR('Поток-1'!G9,"")</f>
        <v/>
      </c>
      <c r="H5" s="9">
        <f>IFERROR('Поток-1'!H9,"")</f>
        <v/>
      </c>
      <c r="I5" s="9">
        <f>IFERROR('Поток-1'!I9,"")</f>
        <v/>
      </c>
      <c r="J5" s="12">
        <f>IFERROR(SUM(D5:I5),"")</f>
        <v/>
      </c>
    </row>
    <row r="6">
      <c r="A6" s="5" t="inlineStr">
        <is>
          <t>KPI-REV-P1</t>
        </is>
      </c>
      <c r="B6" s="11" t="inlineStr">
        <is>
          <t>Выручка П1, £</t>
        </is>
      </c>
      <c r="C6" s="7" t="inlineStr">
        <is>
          <t>основатель</t>
        </is>
      </c>
      <c r="D6" s="9">
        <f>IFERROR('Поток-1'!D14,"")</f>
        <v/>
      </c>
      <c r="E6" s="9">
        <f>IFERROR('Поток-1'!E14,"")</f>
        <v/>
      </c>
      <c r="F6" s="9">
        <f>IFERROR('Поток-1'!F14,"")</f>
        <v/>
      </c>
      <c r="G6" s="9">
        <f>IFERROR('Поток-1'!G14,"")</f>
        <v/>
      </c>
      <c r="H6" s="9">
        <f>IFERROR('Поток-1'!H14,"")</f>
        <v/>
      </c>
      <c r="I6" s="9">
        <f>IFERROR('Поток-1'!I14,"")</f>
        <v/>
      </c>
      <c r="J6" s="12">
        <f>IFERROR(SUM(D6:I6),"")</f>
        <v/>
      </c>
    </row>
    <row r="7">
      <c r="A7" s="4" t="inlineStr">
        <is>
          <t>CONTRIBUTION ПО ПОТОКАМ, ₽</t>
        </is>
      </c>
    </row>
    <row r="8">
      <c r="A8" s="5" t="inlineStr"/>
      <c r="B8" s="6" t="inlineStr">
        <is>
          <t>Contribution П2</t>
        </is>
      </c>
      <c r="C8" s="7" t="inlineStr">
        <is>
          <t>финансы</t>
        </is>
      </c>
      <c r="D8" s="9">
        <f>IFERROR('Поток-2'!D28,"")</f>
        <v/>
      </c>
      <c r="E8" s="9">
        <f>IFERROR('Поток-2'!E28,"")</f>
        <v/>
      </c>
      <c r="F8" s="9">
        <f>IFERROR('Поток-2'!F28,"")</f>
        <v/>
      </c>
      <c r="G8" s="9">
        <f>IFERROR('Поток-2'!G28,"")</f>
        <v/>
      </c>
      <c r="H8" s="9">
        <f>IFERROR('Поток-2'!H28,"")</f>
        <v/>
      </c>
      <c r="I8" s="9">
        <f>IFERROR('Поток-2'!I28,"")</f>
        <v/>
      </c>
      <c r="J8" s="9">
        <f>IFERROR(SUM(D8:I8),"")</f>
        <v/>
      </c>
    </row>
    <row r="9">
      <c r="A9" s="5" t="inlineStr"/>
      <c r="B9" s="6" t="inlineStr">
        <is>
          <t>Contribution П1</t>
        </is>
      </c>
      <c r="C9" s="7" t="inlineStr">
        <is>
          <t>финансы</t>
        </is>
      </c>
      <c r="D9" s="9">
        <f>IFERROR('Поток-1'!D20,"")</f>
        <v/>
      </c>
      <c r="E9" s="9">
        <f>IFERROR('Поток-1'!E20,"")</f>
        <v/>
      </c>
      <c r="F9" s="9">
        <f>IFERROR('Поток-1'!F20,"")</f>
        <v/>
      </c>
      <c r="G9" s="9">
        <f>IFERROR('Поток-1'!G20,"")</f>
        <v/>
      </c>
      <c r="H9" s="9">
        <f>IFERROR('Поток-1'!H20,"")</f>
        <v/>
      </c>
      <c r="I9" s="9">
        <f>IFERROR('Поток-1'!I20,"")</f>
        <v/>
      </c>
      <c r="J9" s="9">
        <f>IFERROR(SUM(D9:I9),"")</f>
        <v/>
      </c>
    </row>
    <row r="10">
      <c r="A10" s="4" t="inlineStr">
        <is>
          <t>ДЕНЕЖНЫЙ КОНТУР — единственная законная консолидация</t>
        </is>
      </c>
    </row>
    <row r="11">
      <c r="A11" s="5" t="inlineStr">
        <is>
          <t>KPI-CASH</t>
        </is>
      </c>
      <c r="B11" s="6" t="inlineStr">
        <is>
          <t>Cash — остаток на конец периода, ₽ (баланс, не сумма)</t>
        </is>
      </c>
      <c r="C11" s="7" t="inlineStr">
        <is>
          <t>основатель</t>
        </is>
      </c>
      <c r="D11" s="8" t="n"/>
      <c r="E11" s="8" t="n"/>
      <c r="F11" s="8" t="n"/>
      <c r="G11" s="8" t="n"/>
      <c r="H11" s="8" t="n"/>
      <c r="I11" s="8" t="n"/>
      <c r="J11" s="9" t="n"/>
    </row>
    <row r="12">
      <c r="A12" s="5" t="inlineStr">
        <is>
          <t>KPI-BURN</t>
        </is>
      </c>
      <c r="B12" s="6" t="inlineStr">
        <is>
          <t>Burn Rate — расходы, ₽/мес</t>
        </is>
      </c>
      <c r="C12" s="7" t="inlineStr">
        <is>
          <t>финансы</t>
        </is>
      </c>
      <c r="D12" s="8" t="n"/>
      <c r="E12" s="8" t="n"/>
      <c r="F12" s="8" t="n"/>
      <c r="G12" s="8" t="n"/>
      <c r="H12" s="8" t="n"/>
      <c r="I12" s="8" t="n"/>
      <c r="J12" s="9" t="n"/>
    </row>
    <row r="13">
      <c r="A13" s="5" t="inlineStr">
        <is>
          <t>KPI-RUNWAY</t>
        </is>
      </c>
      <c r="B13" s="11" t="inlineStr">
        <is>
          <t>Runway = Cash / Burn, мес</t>
        </is>
      </c>
      <c r="C13" s="7" t="inlineStr">
        <is>
          <t>основатель</t>
        </is>
      </c>
      <c r="D13" s="14">
        <f>IFERROR(D11/D12,"")</f>
        <v/>
      </c>
      <c r="E13" s="14">
        <f>IFERROR(E11/E12,"")</f>
        <v/>
      </c>
      <c r="F13" s="14">
        <f>IFERROR(F11/F12,"")</f>
        <v/>
      </c>
      <c r="G13" s="14">
        <f>IFERROR(G11/G12,"")</f>
        <v/>
      </c>
      <c r="H13" s="14">
        <f>IFERROR(H11/H12,"")</f>
        <v/>
      </c>
      <c r="I13" s="14">
        <f>IFERROR(I11/I12,"")</f>
        <v/>
      </c>
      <c r="J13" s="15" t="n"/>
    </row>
  </sheetData>
  <mergeCells count="4">
    <mergeCell ref="A10:K10"/>
    <mergeCell ref="A1:K1"/>
    <mergeCell ref="A7:K7"/>
    <mergeCell ref="A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D3-SPC-01 · Модель юнит-экономики и P&amp;L по потокам — MainExperts</t>
        </is>
      </c>
    </row>
    <row r="2">
      <c r="A2" s="17" t="inlineStr"/>
    </row>
    <row r="3">
      <c r="A3" s="17" t="inlineStr">
        <is>
          <t>Что это. Финансовая модель (шаблон) по документу реестра D3-SPC-01. Структура адаптирована из</t>
        </is>
      </c>
    </row>
    <row r="4">
      <c r="A4" s="17" t="inlineStr">
        <is>
          <t>присланного P&amp;L другой компании (розница: сайт/маркетплейсы/корпоративные). Числа НЕ перенесены</t>
        </is>
      </c>
    </row>
    <row r="5">
      <c r="A5" s="17" t="inlineStr">
        <is>
          <t>и НЕ выдуманы — факт вводит основатель (жёлтые ячейки). Формулы считают производные автоматически.</t>
        </is>
      </c>
    </row>
    <row r="6">
      <c r="A6" s="17" t="inlineStr"/>
    </row>
    <row r="7">
      <c r="A7" s="16" t="inlineStr">
        <is>
          <t>Что убрано из исходника (неприменимо к цифровому AI-продукту):</t>
        </is>
      </c>
    </row>
    <row r="8">
      <c r="A8" s="17" t="inlineStr">
        <is>
          <t xml:space="preserve">  • Себестоимость товаров, Логистика (до клиента/на склад), Хранение, Выкупы, Комиссия маркетплейсов.</t>
        </is>
      </c>
    </row>
    <row r="9">
      <c r="A9" s="17" t="inlineStr">
        <is>
          <t xml:space="preserve">  Причина: продукт цифровой, переменная себестоимость единицы ≈ 0 (пакет автоматизирован, docs/02).</t>
        </is>
      </c>
    </row>
    <row r="10">
      <c r="A10" s="17" t="inlineStr"/>
    </row>
    <row r="11">
      <c r="A11" s="16" t="inlineStr">
        <is>
          <t>Что добавлено под нашу модель:</t>
        </is>
      </c>
    </row>
    <row r="12">
      <c r="A12" s="17" t="inlineStr">
        <is>
          <t xml:space="preserve">  • Два потока выручки Поток-1 (HNW) и Поток-2 (воронка) — на разных листах, НЕ суммируются.</t>
        </is>
      </c>
    </row>
    <row r="13">
      <c r="A13" s="17" t="inlineStr">
        <is>
          <t xml:space="preserve">  • Воронка П2: Визиты→Скрининги→Оплаты (диагностика 50 000 ₽ + подписки Pro 2 990 / Ultima 9 990).</t>
        </is>
      </c>
    </row>
    <row r="14">
      <c r="A14" s="17" t="inlineStr">
        <is>
          <t xml:space="preserve">  • Цифровые статьи расходов: AI-стоимость (OpenRouter), Эквайринг (Робокасса 10%), ДРР, CAC, инструменты.</t>
        </is>
      </c>
    </row>
    <row r="15">
      <c r="A15" s="17" t="inlineStr">
        <is>
          <t xml:space="preserve">  • Денежный контур: Cash / Burn / Runway.</t>
        </is>
      </c>
    </row>
    <row r="16">
      <c r="A16" s="17" t="inlineStr"/>
    </row>
    <row r="17">
      <c r="A17" s="16" t="inlineStr">
        <is>
          <t>Жёсткие правила (из CLAUDE.md и boards/04-stage0-mvp):</t>
        </is>
      </c>
    </row>
    <row r="18">
      <c r="A18" s="17" t="inlineStr">
        <is>
          <t xml:space="preserve">  • KPI-REV-P1 и KPI-REV-P2 НЕ суммировать. Консолидируется только Cash (деньги на счету).</t>
        </is>
      </c>
    </row>
    <row r="19">
      <c r="A19" s="17" t="inlineStr">
        <is>
          <t xml:space="preserve">  • ₽ и £ Потока-1 — раздельные строки, не конвертировать в один показатель.</t>
        </is>
      </c>
    </row>
    <row r="20">
      <c r="A20" s="17" t="inlineStr">
        <is>
          <t xml:space="preserve">  • Пороги/цели — решения основателя; здесь не заданы (не выдумывать цели до факта).</t>
        </is>
      </c>
    </row>
    <row r="21">
      <c r="A21" s="17" t="inlineStr">
        <is>
          <t xml:space="preserve">  • Cash — баланс на дату, а не сумма месяцев (поэтому Год для Cash/Burn/Runway пуст).</t>
        </is>
      </c>
    </row>
    <row r="22">
      <c r="A22" s="17" t="inlineStr"/>
    </row>
    <row r="23">
      <c r="A23" s="16" t="inlineStr">
        <is>
          <t>Цены-константы взяты из канона (документированы, не выдуманы):</t>
        </is>
      </c>
    </row>
    <row r="24">
      <c r="A24" s="17" t="inlineStr">
        <is>
          <t xml:space="preserve">  Диагностика 50 000 ₽; Pro 2 990 ₽/мес; Ultima 9 990 ₽/мес (docs/01-strategy).</t>
        </is>
      </c>
    </row>
    <row r="25">
      <c r="A25" s="17" t="inlineStr">
        <is>
          <t xml:space="preserve">  Лесенка П1: 50К/150К/500К/1.5млн/10млн ₽; £-кейс: 3 000/2 000/5 000 (docs/01, private/stream-1-hnw).</t>
        </is>
      </c>
    </row>
    <row r="26">
      <c r="A26" s="17" t="inlineStr">
        <is>
          <t xml:space="preserve">  Эквайринг Робокасса 10% (docs/06-data-tools-payments). Профиль 360 — цена не зафиксирована → ввод.</t>
        </is>
      </c>
    </row>
    <row r="27">
      <c r="A27" s="17" t="inlineStr"/>
    </row>
    <row r="28">
      <c r="A28" s="17" t="inlineStr">
        <is>
          <t>KPI-мэппинг строк → каталог метрик D4-DAT-02 (boards/04): KPI-VISITS, KPI-SCREEN, KPI-PAY, KPI-CR,</t>
        </is>
      </c>
    </row>
    <row r="29">
      <c r="A29" s="17" t="inlineStr">
        <is>
          <t>KPI-CAC, ДРР, KPI-REV-P2, KPI-REV-P1, KPI-CASH, KPI-BURN, KPI-RUNWAY.</t>
        </is>
      </c>
    </row>
    <row r="30">
      <c r="A30" s="17" t="inlineStr"/>
    </row>
    <row r="31">
      <c r="A31" s="17" t="inlineStr">
        <is>
          <t>Источники: docs/dms/documents/D3-SPC-01__pnl-model.md · docs/dms/04-registry.md (D3-SPC-01) ·</t>
        </is>
      </c>
    </row>
    <row r="32">
      <c r="A32" s="17" t="inlineStr">
        <is>
          <t>docs/10-data-model.md (v_pnl_listing) · docs/01-strategy.md · CHANGELOG. Снимок 12.07.2026.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2026-07-12T14:10:03Z</dcterms:created>
  <dcterms:modified xsi:type="dcterms:W3CDTF">2026-07-12T14:10:03Z</dcterms:modified>
</cp:coreProperties>
</file>