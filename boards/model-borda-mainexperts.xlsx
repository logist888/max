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 компании" sheetId="1" state="visible" r:id="rId1"/>
    <sheet name="Параметры" sheetId="2" state="visible" r:id="rId2"/>
    <sheet name="Маркетинг" sheetId="3" state="visible" r:id="rId3"/>
    <sheet name="Контент-атрибуция" sheetId="4" state="visible" r:id="rId4"/>
    <sheet name="Юнит-экономика" sheetId="5" state="visible" r:id="rId5"/>
    <sheet name="P&amp;L компан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#,##0\ ₽"/>
    <numFmt numFmtId="167" formatCode="#,##0.0"/>
  </numFmts>
  <fonts count="7">
    <font>
      <name val="Calibri"/>
      <family val="2"/>
      <color theme="1"/>
      <sz val="11"/>
      <scheme val="minor"/>
    </font>
    <font>
      <b val="1"/>
      <color rgb="00101827"/>
      <sz val="14"/>
    </font>
    <font>
      <b val="1"/>
      <color rgb="00101827"/>
    </font>
    <font>
      <b val="1"/>
      <color rgb="00FFFFFF"/>
    </font>
    <font>
      <color rgb="00101827"/>
    </font>
    <font>
      <i val="1"/>
      <color rgb="006B7280"/>
      <sz val="9"/>
    </font>
    <font>
      <b val="1"/>
      <color rgb="002463EB"/>
      <sz val="12"/>
    </font>
  </fonts>
  <fills count="6">
    <fill>
      <patternFill/>
    </fill>
    <fill>
      <patternFill patternType="gray125"/>
    </fill>
    <fill>
      <patternFill patternType="solid">
        <fgColor rgb="002463EB"/>
      </patternFill>
    </fill>
    <fill>
      <patternFill patternType="solid">
        <fgColor rgb="00C9D7F5"/>
      </patternFill>
    </fill>
    <fill>
      <patternFill patternType="solid">
        <fgColor rgb="00FFF2C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2" fillId="0" borderId="1" pivotButton="0" quotePrefix="0" xfId="0"/>
    <xf numFmtId="166" fontId="2" fillId="0" borderId="1" pivotButton="0" quotePrefix="0" xfId="0"/>
    <xf numFmtId="166" fontId="2" fillId="4" borderId="1" pivotButton="0" quotePrefix="0" xfId="0"/>
    <xf numFmtId="165" fontId="2" fillId="0" borderId="1" pivotButton="0" quotePrefix="0" xfId="0"/>
    <xf numFmtId="167" fontId="2" fillId="0" borderId="1" pivotButton="0" quotePrefix="0" xfId="0"/>
    <xf numFmtId="166" fontId="0" fillId="4" borderId="1" pivotButton="0" quotePrefix="0" xfId="0"/>
    <xf numFmtId="166" fontId="0" fillId="0" borderId="1" pivotButton="0" quotePrefix="0" xfId="0"/>
    <xf numFmtId="3" fontId="0" fillId="4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167" fontId="0" fillId="4" borderId="1" pivotButton="0" quotePrefix="0" xfId="0"/>
    <xf numFmtId="167" fontId="0" fillId="0" borderId="1" pivotButton="0" quotePrefix="0" xfId="0"/>
    <xf numFmtId="165" fontId="0" fillId="4" borderId="1" pivotButton="0" quotePrefix="0" xfId="0"/>
    <xf numFmtId="165" fontId="0" fillId="0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3" fontId="2" fillId="5" borderId="1" pivotButton="0" quotePrefix="0" xfId="0"/>
    <xf numFmtId="166" fontId="2" fillId="5" borderId="1" pivotButton="0" quotePrefix="0" xfId="0"/>
    <xf numFmtId="165" fontId="2" fillId="5" borderId="1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4" customHeight="1">
      <c r="A1" s="1" t="inlineStr">
        <is>
          <t>🏢 Дашборд компании MainExperts — цель, воронка, P&amp;L (план / факт)</t>
        </is>
      </c>
    </row>
    <row r="2">
      <c r="A2" s="2" t="inlineStr">
        <is>
          <t>Все числа считаются формулами от листа «Параметры» (курс $ = 80). Синее — входные данные, жёлтое — ваш факт.</t>
        </is>
      </c>
    </row>
    <row r="4">
      <c r="A4" s="3" t="inlineStr">
        <is>
          <t>🎯 ЦЕЛЬ КОМПАНИИ</t>
        </is>
      </c>
    </row>
    <row r="5">
      <c r="A5" s="4" t="inlineStr">
        <is>
          <t>Показатель</t>
        </is>
      </c>
      <c r="B5" s="4" t="inlineStr">
        <is>
          <t>Значение</t>
        </is>
      </c>
      <c r="C5" t="inlineStr"/>
      <c r="D5" t="inlineStr"/>
    </row>
    <row r="6">
      <c r="A6" s="5" t="inlineStr">
        <is>
          <t>Цель, $</t>
        </is>
      </c>
      <c r="B6" s="6">
        <f>Параметры!$B$24</f>
        <v/>
      </c>
    </row>
    <row r="7">
      <c r="A7" s="5" t="inlineStr">
        <is>
          <t>Цель, ₽ (× курс)</t>
        </is>
      </c>
      <c r="B7" s="7">
        <f>Параметры!$B$24*Параметры!$B$3</f>
        <v/>
      </c>
    </row>
    <row r="8">
      <c r="A8" s="5" t="inlineStr">
        <is>
          <t>Цель в месяц, ₽</t>
        </is>
      </c>
      <c r="B8" s="7">
        <f>B7/Параметры!$B$25</f>
        <v/>
      </c>
    </row>
    <row r="9">
      <c r="A9" s="5" t="inlineStr">
        <is>
          <t>Выручка / цикл (план, компания)</t>
        </is>
      </c>
      <c r="B9" s="7">
        <f>'P&amp;L компании'!F5</f>
        <v/>
      </c>
    </row>
    <row r="10">
      <c r="A10" s="5" t="inlineStr">
        <is>
          <t>Накопленная выручка (факт) ✎</t>
        </is>
      </c>
      <c r="B10" s="8" t="n"/>
    </row>
    <row r="11">
      <c r="A11" s="5" t="inlineStr">
        <is>
          <t>% достижения цели (факт)</t>
        </is>
      </c>
      <c r="B11" s="9">
        <f>B10/B7</f>
        <v/>
      </c>
    </row>
    <row r="12">
      <c r="A12" s="5" t="inlineStr">
        <is>
          <t>Продаж 50К для цели (если только 50К)</t>
        </is>
      </c>
      <c r="B12" s="6">
        <f>B7/Параметры!$B$12</f>
        <v/>
      </c>
    </row>
    <row r="13">
      <c r="A13" s="5" t="inlineStr">
        <is>
          <t>…в день (× горизонт)</t>
        </is>
      </c>
      <c r="B13" s="10">
        <f>B12/(Параметры!$B$25*30)</f>
        <v/>
      </c>
    </row>
    <row r="14">
      <c r="A14" s="2" t="inlineStr">
        <is>
          <t>Потолок ручной проверки отчёта ≈ 9–10/день — выше этого цель упирается в узкое место (этап 5).</t>
        </is>
      </c>
    </row>
    <row r="16">
      <c r="A16" s="3" t="inlineStr">
        <is>
          <t>📌 KPI ЦИКЛА ($2000: 1000 VK + 1000 Meta)</t>
        </is>
      </c>
    </row>
    <row r="17">
      <c r="A17" s="4" t="inlineStr">
        <is>
          <t>Метрика</t>
        </is>
      </c>
      <c r="B17" s="4" t="inlineStr">
        <is>
          <t>План</t>
        </is>
      </c>
      <c r="C17" s="4" t="inlineStr">
        <is>
          <t>Факт</t>
        </is>
      </c>
      <c r="D17" s="4" t="inlineStr">
        <is>
          <t>Δ (факт−план)</t>
        </is>
      </c>
      <c r="E17" s="4" t="inlineStr">
        <is>
          <t>Светофор/примечание</t>
        </is>
      </c>
    </row>
    <row r="18">
      <c r="A18" s="5" t="inlineStr">
        <is>
          <t>Рекламный бюджет, ₽</t>
        </is>
      </c>
      <c r="B18" s="7">
        <f>Маркетинг!D3</f>
        <v/>
      </c>
      <c r="C18" s="11" t="n"/>
      <c r="D18" s="12">
        <f>C18-B18</f>
        <v/>
      </c>
      <c r="E18" s="2" t="inlineStr">
        <is>
          <t>вход = $2000 × курс</t>
        </is>
      </c>
    </row>
    <row r="19">
      <c r="A19" s="5" t="inlineStr">
        <is>
          <t>Лиды (скрининги, e-mail)</t>
        </is>
      </c>
      <c r="B19" s="6">
        <f>Маркетинг!D6</f>
        <v/>
      </c>
      <c r="C19" s="13" t="n"/>
      <c r="D19" s="14">
        <f>C19-B19</f>
        <v/>
      </c>
      <c r="E19" s="2" t="inlineStr">
        <is>
          <t>реальный актив бюджета</t>
        </is>
      </c>
    </row>
    <row r="20">
      <c r="A20" s="5" t="inlineStr">
        <is>
          <t>CPL, $</t>
        </is>
      </c>
      <c r="B20" s="15">
        <f>Маркетинг!D7</f>
        <v/>
      </c>
      <c r="C20" s="16" t="n"/>
      <c r="D20" s="17">
        <f>C20-B20</f>
        <v/>
      </c>
      <c r="E20" s="2" t="inlineStr"/>
    </row>
    <row r="21">
      <c r="A21" s="5" t="inlineStr">
        <is>
          <t>Продажи 50К</t>
        </is>
      </c>
      <c r="B21" s="10">
        <f>Маркетинг!D8</f>
        <v/>
      </c>
      <c r="C21" s="18" t="n"/>
      <c r="D21" s="19">
        <f>C21-B21</f>
        <v/>
      </c>
      <c r="E21" s="2" t="inlineStr">
        <is>
          <t>⚠ ставка на гипотезу скрининга</t>
        </is>
      </c>
    </row>
    <row r="22">
      <c r="A22" s="5" t="inlineStr">
        <is>
          <t>Выручка, ₽</t>
        </is>
      </c>
      <c r="B22" s="7">
        <f>Маркетинг!D11</f>
        <v/>
      </c>
      <c r="C22" s="11" t="n"/>
      <c r="D22" s="12">
        <f>C22-B22</f>
        <v/>
      </c>
      <c r="E22" s="2" t="inlineStr"/>
    </row>
    <row r="23">
      <c r="A23" s="5" t="inlineStr">
        <is>
          <t>ДРР</t>
        </is>
      </c>
      <c r="B23" s="9">
        <f>Маркетинг!D12</f>
        <v/>
      </c>
      <c r="C23" s="20" t="n"/>
      <c r="D23" s="21">
        <f>C23-B23</f>
        <v/>
      </c>
      <c r="E23" s="2" t="inlineStr">
        <is>
          <t>🟢&lt;50 · 🟡50–100 · 🔴&gt;100</t>
        </is>
      </c>
    </row>
    <row r="24">
      <c r="A24" s="5" t="inlineStr">
        <is>
          <t>Операционный результат, ₽</t>
        </is>
      </c>
      <c r="B24" s="7">
        <f>'P&amp;L компании'!F10</f>
        <v/>
      </c>
      <c r="C24" s="11" t="n"/>
      <c r="D24" s="12">
        <f>C24-B24</f>
        <v/>
      </c>
      <c r="E24" s="2" t="inlineStr">
        <is>
          <t>🔴 &lt; 0</t>
        </is>
      </c>
    </row>
  </sheetData>
  <mergeCells count="5">
    <mergeCell ref="A4:E4"/>
    <mergeCell ref="A2:E2"/>
    <mergeCell ref="A16:E16"/>
    <mergeCell ref="A1:E1"/>
    <mergeCell ref="A14:E14"/>
  </mergeCells>
  <conditionalFormatting sqref="B11">
    <cfRule type="colorScale" priority="1">
      <colorScale>
        <cfvo type="num" val="0"/>
        <cfvo type="num" val="0.5"/>
        <cfvo type="num" val="1"/>
        <color rgb="00FFC7CE"/>
        <color rgb="00FFEB9C"/>
        <color rgb="00C6EFCE"/>
      </colorScale>
    </cfRule>
  </conditionalFormatting>
  <conditionalFormatting sqref="B23">
    <cfRule type="cellIs" priority="2" operator="greaterThan" dxfId="0">
      <formula>1</formula>
    </cfRule>
    <cfRule type="cellIs" priority="3" operator="between" dxfId="1">
      <formula>0.5</formula>
      <formula>1</formula>
    </cfRule>
    <cfRule type="cellIs" priority="4" operator="lessThan" dxfId="2">
      <formula>0.5</formula>
    </cfRule>
  </conditionalFormatting>
  <conditionalFormatting sqref="B24">
    <cfRule type="cellIs" priority="5" operator="lessThan" dxfId="0">
      <formula>0</formula>
    </cfRule>
    <cfRule type="cellIs" priority="6" operator="greaterThanOrEqual" dxfId="2">
      <formula>0</formula>
    </cfRule>
  </conditionalFormatting>
  <conditionalFormatting sqref="C24">
    <cfRule type="cellIs" priority="7" operator="lessThan" dxfId="0">
      <formula>0</formula>
    </cfRule>
    <cfRule type="cellIs" priority="8" operator="greaterThanOrEqual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2" customWidth="1" min="3" max="3"/>
  </cols>
  <sheetData>
    <row r="1" ht="24" customHeight="1">
      <c r="A1" s="1" t="inlineStr">
        <is>
          <t>⚙ Параметры модели — редактируемые входные данные (синие ячейки)</t>
        </is>
      </c>
    </row>
    <row r="2">
      <c r="A2" s="4" t="inlineStr">
        <is>
          <t>Показатель</t>
        </is>
      </c>
      <c r="B2" s="4" t="inlineStr">
        <is>
          <t>Значение</t>
        </is>
      </c>
      <c r="C2" s="4" t="inlineStr">
        <is>
          <t>Ед. / примечание</t>
        </is>
      </c>
    </row>
    <row r="3">
      <c r="A3" s="5" t="inlineStr">
        <is>
          <t>Курс доллара</t>
        </is>
      </c>
      <c r="B3" s="22" t="n">
        <v>80</v>
      </c>
      <c r="C3" s="2" t="inlineStr">
        <is>
          <t>₽ / $ — меняешь здесь, пересчитывается вся модель</t>
        </is>
      </c>
    </row>
    <row r="4">
      <c r="A4" s="5" t="inlineStr">
        <is>
          <t>Бюджет VK</t>
        </is>
      </c>
      <c r="B4" s="22" t="n">
        <v>1000</v>
      </c>
      <c r="C4" s="2" t="inlineStr">
        <is>
          <t>$ за цикл</t>
        </is>
      </c>
    </row>
    <row r="5">
      <c r="A5" s="5" t="inlineStr">
        <is>
          <t>Бюджет Meta</t>
        </is>
      </c>
      <c r="B5" s="22" t="n">
        <v>1000</v>
      </c>
      <c r="C5" s="2" t="inlineStr">
        <is>
          <t>$ за цикл</t>
        </is>
      </c>
    </row>
    <row r="6">
      <c r="A6" s="5" t="inlineStr">
        <is>
          <t>CPC VK</t>
        </is>
      </c>
      <c r="B6" s="23" t="n">
        <v>0.34</v>
      </c>
      <c r="C6" s="2" t="inlineStr">
        <is>
          <t>$ за клик</t>
        </is>
      </c>
    </row>
    <row r="7">
      <c r="A7" s="5" t="inlineStr">
        <is>
          <t>CPC Meta</t>
        </is>
      </c>
      <c r="B7" s="23" t="n">
        <v>0.675</v>
      </c>
      <c r="C7" s="2" t="inlineStr">
        <is>
          <t>$ за клик (диаспора/MENA дороже)</t>
        </is>
      </c>
    </row>
    <row r="8">
      <c r="A8" s="5" t="inlineStr">
        <is>
          <t>Клик → старт скрининга, VK</t>
        </is>
      </c>
      <c r="B8" s="24" t="n">
        <v>0.4</v>
      </c>
      <c r="C8" s="2" t="inlineStr">
        <is>
          <t>доля</t>
        </is>
      </c>
    </row>
    <row r="9">
      <c r="A9" s="5" t="inlineStr">
        <is>
          <t>Клик → старт скрининга, Meta</t>
        </is>
      </c>
      <c r="B9" s="24" t="n">
        <v>0.425</v>
      </c>
      <c r="C9" s="2" t="inlineStr">
        <is>
          <t>доля</t>
        </is>
      </c>
    </row>
    <row r="10">
      <c r="A10" s="5" t="inlineStr">
        <is>
          <t>Старт → завершение скрининга</t>
        </is>
      </c>
      <c r="B10" s="24" t="n">
        <v>0.48</v>
      </c>
      <c r="C10" s="2" t="inlineStr">
        <is>
          <t>доля (≈18 вопросов + e-mail до результата)</t>
        </is>
      </c>
    </row>
    <row r="11">
      <c r="A11" s="5" t="inlineStr">
        <is>
          <t>Завершивший → покупка 50К  ⚠СТАВКА</t>
        </is>
      </c>
      <c r="B11" s="24" t="n">
        <v>0.003</v>
      </c>
      <c r="C11" s="2" t="inlineStr">
        <is>
          <t>доля — гипотеза скрининга, НЕ валидирована</t>
        </is>
      </c>
    </row>
    <row r="12">
      <c r="A12" s="5" t="inlineStr">
        <is>
          <t>Цена «Профориентация 50К»</t>
        </is>
      </c>
      <c r="B12" s="25" t="n">
        <v>50000</v>
      </c>
      <c r="C12" s="2" t="inlineStr">
        <is>
          <t>₽ — живой CTA Потока 2</t>
        </is>
      </c>
    </row>
    <row r="13">
      <c r="A13" s="5" t="inlineStr">
        <is>
          <t>Цена подписки Pro</t>
        </is>
      </c>
      <c r="B13" s="25" t="n">
        <v>2990</v>
      </c>
      <c r="C13" s="2" t="inlineStr">
        <is>
          <t>₽ / мес</t>
        </is>
      </c>
    </row>
    <row r="14">
      <c r="A14" s="5" t="inlineStr">
        <is>
          <t>Цена подписки Ultima</t>
        </is>
      </c>
      <c r="B14" s="25" t="n">
        <v>9990</v>
      </c>
      <c r="C14" s="2" t="inlineStr">
        <is>
          <t>₽ / мес</t>
        </is>
      </c>
    </row>
    <row r="15">
      <c r="A15" s="5" t="inlineStr">
        <is>
          <t>Подписки Pro за цикл</t>
        </is>
      </c>
      <c r="B15" s="22" t="n">
        <v>4</v>
      </c>
      <c r="C15" s="2" t="inlineStr">
        <is>
          <t>шт (первый платёж)</t>
        </is>
      </c>
    </row>
    <row r="16">
      <c r="A16" s="5" t="inlineStr">
        <is>
          <t>Подписки Ultima за цикл</t>
        </is>
      </c>
      <c r="B16" s="22" t="n">
        <v>1</v>
      </c>
      <c r="C16" s="2" t="inlineStr">
        <is>
          <t>шт (первый платёж)</t>
        </is>
      </c>
    </row>
    <row r="17">
      <c r="A17" s="5" t="inlineStr">
        <is>
          <t>Часы эксперта на отчёт</t>
        </is>
      </c>
      <c r="B17" s="26" t="n">
        <v>1.5</v>
      </c>
      <c r="C17" s="2" t="inlineStr">
        <is>
          <t>ч — узкое место (этап 5)</t>
        </is>
      </c>
    </row>
    <row r="18">
      <c r="A18" s="5" t="inlineStr">
        <is>
          <t>Ставка эксперта</t>
        </is>
      </c>
      <c r="B18" s="25" t="n">
        <v>2000</v>
      </c>
      <c r="C18" s="2" t="inlineStr">
        <is>
          <t>₽ / ч</t>
        </is>
      </c>
    </row>
    <row r="19">
      <c r="A19" s="5" t="inlineStr">
        <is>
          <t>Стоимость ИИ-отчёта</t>
        </is>
      </c>
      <c r="B19" s="25" t="n">
        <v>300</v>
      </c>
      <c r="C19" s="2" t="inlineStr">
        <is>
          <t>₽ (API)</t>
        </is>
      </c>
    </row>
    <row r="20">
      <c r="A20" s="5" t="inlineStr">
        <is>
          <t>Эквайринг</t>
        </is>
      </c>
      <c r="B20" s="24" t="n">
        <v>0.04</v>
      </c>
      <c r="C20" s="2" t="inlineStr">
        <is>
          <t>доля от чека</t>
        </is>
      </c>
    </row>
    <row r="21">
      <c r="A21" s="5" t="inlineStr">
        <is>
          <t>Постоянные: Meta-специалист</t>
        </is>
      </c>
      <c r="B21" s="22" t="n">
        <v>600</v>
      </c>
      <c r="C21" s="2" t="inlineStr">
        <is>
          <t>$ / мес</t>
        </is>
      </c>
    </row>
    <row r="22">
      <c r="A22" s="5" t="inlineStr">
        <is>
          <t>Постоянные: инструменты/сервисы</t>
        </is>
      </c>
      <c r="B22" s="22" t="n">
        <v>150</v>
      </c>
      <c r="C22" s="2" t="inlineStr">
        <is>
          <t>$ / мес</t>
        </is>
      </c>
    </row>
    <row r="23">
      <c r="A23" s="5" t="inlineStr">
        <is>
          <t>Постоянные: операционные/накладные</t>
        </is>
      </c>
      <c r="B23" s="25" t="n">
        <v>30000</v>
      </c>
      <c r="C23" s="2" t="inlineStr">
        <is>
          <t>₽ / мес</t>
        </is>
      </c>
    </row>
    <row r="24">
      <c r="A24" s="5" t="inlineStr">
        <is>
          <t>Цель компании</t>
        </is>
      </c>
      <c r="B24" s="22" t="n">
        <v>1000000</v>
      </c>
      <c r="C24" s="2" t="inlineStr">
        <is>
          <t>$ (валовая выручка)</t>
        </is>
      </c>
    </row>
    <row r="25">
      <c r="A25" s="5" t="inlineStr">
        <is>
          <t>Горизонт цели</t>
        </is>
      </c>
      <c r="B25" s="22" t="n">
        <v>6</v>
      </c>
      <c r="C25" s="2" t="inlineStr">
        <is>
          <t>мес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3" customWidth="1" min="4" max="4"/>
    <col width="11" customWidth="1" min="5" max="5"/>
    <col width="11" customWidth="1" min="6" max="6"/>
    <col width="12" customWidth="1" min="7" max="7"/>
    <col width="18" customWidth="1" min="8" max="8"/>
  </cols>
  <sheetData>
    <row r="1" ht="24" customHeight="1">
      <c r="A1" s="1" t="inlineStr">
        <is>
          <t>📊 Маркетинговый борт — воронка Потока 2, план / факт</t>
        </is>
      </c>
    </row>
    <row r="2">
      <c r="A2" s="4" t="inlineStr">
        <is>
          <t>Показатель</t>
        </is>
      </c>
      <c r="B2" s="4" t="inlineStr">
        <is>
          <t>VK план</t>
        </is>
      </c>
      <c r="C2" s="4" t="inlineStr">
        <is>
          <t>Meta план</t>
        </is>
      </c>
      <c r="D2" s="4" t="inlineStr">
        <is>
          <t>Итого план</t>
        </is>
      </c>
      <c r="E2" s="4" t="inlineStr">
        <is>
          <t>VK факт</t>
        </is>
      </c>
      <c r="F2" s="4" t="inlineStr">
        <is>
          <t>Meta факт</t>
        </is>
      </c>
      <c r="G2" s="4" t="inlineStr">
        <is>
          <t>Итого факт</t>
        </is>
      </c>
      <c r="H2" s="4" t="inlineStr">
        <is>
          <t>Δ Итого (факт−план)</t>
        </is>
      </c>
    </row>
    <row r="3">
      <c r="A3" s="5" t="inlineStr">
        <is>
          <t>Бюджет, ₽</t>
        </is>
      </c>
      <c r="B3" s="12">
        <f>Параметры!$B$4*Параметры!$B$3</f>
        <v/>
      </c>
      <c r="C3" s="12">
        <f>Параметры!$B$5*Параметры!$B$3</f>
        <v/>
      </c>
      <c r="D3" s="7">
        <f>B3+C3</f>
        <v/>
      </c>
      <c r="E3" s="11" t="n"/>
      <c r="F3" s="11" t="n"/>
      <c r="G3" s="11" t="n"/>
      <c r="H3" s="12">
        <f>G3-D3</f>
        <v/>
      </c>
    </row>
    <row r="4">
      <c r="A4" s="5" t="inlineStr">
        <is>
          <t>Клики</t>
        </is>
      </c>
      <c r="B4" s="14">
        <f>Параметры!$B$4/Параметры!$B$6</f>
        <v/>
      </c>
      <c r="C4" s="14">
        <f>Параметры!$B$5/Параметры!$B$7</f>
        <v/>
      </c>
      <c r="D4" s="6">
        <f>B4+C4</f>
        <v/>
      </c>
      <c r="E4" s="13" t="n"/>
      <c r="F4" s="13" t="n"/>
      <c r="G4" s="13" t="n"/>
      <c r="H4" s="14">
        <f>G4-D4</f>
        <v/>
      </c>
    </row>
    <row r="5">
      <c r="A5" s="5" t="inlineStr">
        <is>
          <t>Старты скрининга</t>
        </is>
      </c>
      <c r="B5" s="14">
        <f>B4*Параметры!$B$8</f>
        <v/>
      </c>
      <c r="C5" s="14">
        <f>C4*Параметры!$B$9</f>
        <v/>
      </c>
      <c r="D5" s="6">
        <f>B5+C5</f>
        <v/>
      </c>
      <c r="E5" s="13" t="n"/>
      <c r="F5" s="13" t="n"/>
      <c r="G5" s="13" t="n"/>
      <c r="H5" s="14">
        <f>G5-D5</f>
        <v/>
      </c>
    </row>
    <row r="6">
      <c r="A6" s="5" t="inlineStr">
        <is>
          <t>Завершённые скрининги = лиды (e-mail)</t>
        </is>
      </c>
      <c r="B6" s="14">
        <f>B5*Параметры!$B$10</f>
        <v/>
      </c>
      <c r="C6" s="14">
        <f>C5*Параметры!$B$10</f>
        <v/>
      </c>
      <c r="D6" s="6">
        <f>B6+C6</f>
        <v/>
      </c>
      <c r="E6" s="13" t="n"/>
      <c r="F6" s="13" t="n"/>
      <c r="G6" s="13" t="n"/>
      <c r="H6" s="14">
        <f>G6-D6</f>
        <v/>
      </c>
    </row>
    <row r="7">
      <c r="A7" s="5" t="inlineStr">
        <is>
          <t>CPL, $</t>
        </is>
      </c>
      <c r="B7" s="17">
        <f>Параметры!$B$4/B6</f>
        <v/>
      </c>
      <c r="C7" s="17">
        <f>Параметры!$B$5/C6</f>
        <v/>
      </c>
      <c r="D7" s="15">
        <f>(Параметры!$B$4+Параметры!$B$5)/D6</f>
        <v/>
      </c>
      <c r="E7" s="16" t="n"/>
      <c r="F7" s="16" t="n"/>
      <c r="G7" s="16" t="n"/>
      <c r="H7" s="17">
        <f>G7-D7</f>
        <v/>
      </c>
    </row>
    <row r="8">
      <c r="A8" s="5" t="inlineStr">
        <is>
          <t>Продажи «Профориентация 50К»  ⚠СТАВКА</t>
        </is>
      </c>
      <c r="B8" s="19">
        <f>B6*Параметры!$B$11</f>
        <v/>
      </c>
      <c r="C8" s="19">
        <f>C6*Параметры!$B$11</f>
        <v/>
      </c>
      <c r="D8" s="10">
        <f>B8+C8</f>
        <v/>
      </c>
      <c r="E8" s="18" t="n"/>
      <c r="F8" s="18" t="n"/>
      <c r="G8" s="18" t="n"/>
      <c r="H8" s="19">
        <f>G8-D8</f>
        <v/>
      </c>
    </row>
    <row r="9">
      <c r="A9" s="5" t="inlineStr">
        <is>
          <t>Выручка 50К, ₽</t>
        </is>
      </c>
      <c r="B9" s="12">
        <f>B8*Параметры!$B$12</f>
        <v/>
      </c>
      <c r="C9" s="12">
        <f>C8*Параметры!$B$12</f>
        <v/>
      </c>
      <c r="D9" s="7">
        <f>B9+C9</f>
        <v/>
      </c>
      <c r="E9" s="11" t="n"/>
      <c r="F9" s="11" t="n"/>
      <c r="G9" s="11" t="n"/>
      <c r="H9" s="12">
        <f>G9-D9</f>
        <v/>
      </c>
    </row>
    <row r="10">
      <c r="A10" s="5" t="inlineStr">
        <is>
          <t>Выручка подписок, ₽</t>
        </is>
      </c>
      <c r="D10" s="7">
        <f>Параметры!$B$15*Параметры!$B$13+Параметры!$B$16*Параметры!$B$14</f>
        <v/>
      </c>
      <c r="E10" s="11" t="n"/>
      <c r="F10" s="11" t="n"/>
      <c r="G10" s="11" t="n"/>
      <c r="H10" s="12">
        <f>G10-D10</f>
        <v/>
      </c>
    </row>
    <row r="11">
      <c r="A11" s="5" t="inlineStr">
        <is>
          <t>Выручка всего, ₽</t>
        </is>
      </c>
      <c r="B11" s="12">
        <f>B9</f>
        <v/>
      </c>
      <c r="C11" s="12">
        <f>C9</f>
        <v/>
      </c>
      <c r="D11" s="7">
        <f>D9+D10</f>
        <v/>
      </c>
      <c r="E11" s="11" t="n"/>
      <c r="F11" s="11" t="n"/>
      <c r="G11" s="11" t="n"/>
      <c r="H11" s="12">
        <f>G11-D11</f>
        <v/>
      </c>
    </row>
    <row r="12">
      <c r="A12" s="5" t="inlineStr">
        <is>
          <t>ДРР (реклама ₽ / выручка ₽)</t>
        </is>
      </c>
      <c r="B12" s="21">
        <f>B3/B11</f>
        <v/>
      </c>
      <c r="C12" s="21">
        <f>C3/C11</f>
        <v/>
      </c>
      <c r="D12" s="9">
        <f>D3/D11</f>
        <v/>
      </c>
      <c r="E12" s="20" t="n"/>
      <c r="F12" s="20" t="n"/>
      <c r="G12" s="20" t="n"/>
      <c r="H12" s="21">
        <f>G12-D12</f>
        <v/>
      </c>
    </row>
    <row r="14">
      <c r="A14" s="2" t="inlineStr">
        <is>
          <t>Жёлтые ячейки «факт» — для ваших фактических чисел; Δ считается автоматически. ДРР: 🟢&lt;50% · 🟡50–100% · 🔴&gt;100%. «Продажи 50К» дробные — матожидание, фактический исход цикла 0–3.</t>
        </is>
      </c>
    </row>
  </sheetData>
  <mergeCells count="2">
    <mergeCell ref="A14:H14"/>
    <mergeCell ref="A1:H1"/>
  </mergeCells>
  <conditionalFormatting sqref="B12">
    <cfRule type="cellIs" priority="1" operator="greaterThan" dxfId="0">
      <formula>1</formula>
    </cfRule>
    <cfRule type="cellIs" priority="2" operator="between" dxfId="1">
      <formula>0.5</formula>
      <formula>1</formula>
    </cfRule>
    <cfRule type="cellIs" priority="3" operator="lessThan" dxfId="2">
      <formula>0.5</formula>
    </cfRule>
  </conditionalFormatting>
  <conditionalFormatting sqref="C12">
    <cfRule type="cellIs" priority="4" operator="greaterThan" dxfId="0">
      <formula>1</formula>
    </cfRule>
    <cfRule type="cellIs" priority="5" operator="between" dxfId="1">
      <formula>0.5</formula>
      <formula>1</formula>
    </cfRule>
    <cfRule type="cellIs" priority="6" operator="lessThan" dxfId="2">
      <formula>0.5</formula>
    </cfRule>
  </conditionalFormatting>
  <conditionalFormatting sqref="D12">
    <cfRule type="cellIs" priority="7" operator="greaterThan" dxfId="0">
      <formula>1</formula>
    </cfRule>
    <cfRule type="cellIs" priority="8" operator="between" dxfId="1">
      <formula>0.5</formula>
      <formula>1</formula>
    </cfRule>
    <cfRule type="cellIs" priority="9" operator="lessThan" dxfId="2">
      <formula>0.5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7" customWidth="1" min="3" max="3"/>
    <col width="9" customWidth="1" min="4" max="4"/>
    <col width="16" customWidth="1" min="5" max="5"/>
    <col width="10" customWidth="1" min="6" max="6"/>
    <col width="9" customWidth="1" min="7" max="7"/>
    <col width="9" customWidth="1" min="8" max="8"/>
    <col width="9" customWidth="1" min="9" max="9"/>
    <col width="12" customWidth="1" min="10" max="10"/>
    <col width="13" customWidth="1" min="11" max="11"/>
    <col width="12" customWidth="1" min="12" max="12"/>
    <col width="9" customWidth="1" min="13" max="13"/>
    <col width="7" customWidth="1" min="14" max="14"/>
  </cols>
  <sheetData>
    <row r="1" ht="24" customHeight="1">
      <c r="A1" s="1" t="inlineStr">
        <is>
          <t>🧭 Контент-атрибуция — какая статья / тема / канал → продажи и ДРР (факт)</t>
        </is>
      </c>
    </row>
    <row r="2">
      <c r="A2" s="4" t="inlineStr">
        <is>
          <t>Статья / URL</t>
        </is>
      </c>
      <c r="B2" s="4" t="inlineStr">
        <is>
          <t>Тема</t>
        </is>
      </c>
      <c r="C2" s="4" t="inlineStr">
        <is>
          <t>Слов</t>
        </is>
      </c>
      <c r="D2" s="4" t="inlineStr">
        <is>
          <t>Канал</t>
        </is>
      </c>
      <c r="E2" s="4" t="inlineStr">
        <is>
          <t>UTM</t>
        </is>
      </c>
      <c r="F2" s="4" t="inlineStr">
        <is>
          <t>Показы</t>
        </is>
      </c>
      <c r="G2" s="4" t="inlineStr">
        <is>
          <t>Клики</t>
        </is>
      </c>
      <c r="H2" s="4" t="inlineStr">
        <is>
          <t>Лиды</t>
        </is>
      </c>
      <c r="I2" s="4" t="inlineStr">
        <is>
          <t>CPL, $</t>
        </is>
      </c>
      <c r="J2" s="4" t="inlineStr">
        <is>
          <t>Продажи 50К</t>
        </is>
      </c>
      <c r="K2" s="4" t="inlineStr">
        <is>
          <t>Выручка, ₽</t>
        </is>
      </c>
      <c r="L2" s="4" t="inlineStr">
        <is>
          <t>Расход, ₽</t>
        </is>
      </c>
      <c r="M2" s="4" t="inlineStr">
        <is>
          <t>ДРР</t>
        </is>
      </c>
      <c r="N2" s="4" t="inlineStr">
        <is>
          <t>Свет.</t>
        </is>
      </c>
    </row>
    <row r="3">
      <c r="A3" s="27" t="inlineStr">
        <is>
          <t>/blog/professii-buduschego</t>
        </is>
      </c>
      <c r="B3" s="27" t="inlineStr">
        <is>
          <t>Профессии будущего</t>
        </is>
      </c>
      <c r="C3" s="27" t="n">
        <v>1800</v>
      </c>
      <c r="D3" s="27" t="inlineStr">
        <is>
          <t>VK</t>
        </is>
      </c>
      <c r="E3" s="27" t="inlineStr">
        <is>
          <t>seo/prof-future</t>
        </is>
      </c>
      <c r="F3" s="27" t="n">
        <v>12400</v>
      </c>
      <c r="G3" s="27" t="n">
        <v>520</v>
      </c>
      <c r="H3" s="27" t="n">
        <v>210</v>
      </c>
      <c r="I3" s="17">
        <f>IF(H3=0,0,(L3/Параметры!$B$3)/H3)</f>
        <v/>
      </c>
      <c r="J3" s="27" t="n">
        <v>1</v>
      </c>
      <c r="K3" s="27" t="n">
        <v>50000</v>
      </c>
      <c r="L3" s="27" t="n">
        <v>18000</v>
      </c>
      <c r="M3" s="21">
        <f>IF(K3=0,"",L3/K3)</f>
        <v/>
      </c>
    </row>
    <row r="4">
      <c r="A4" s="27" t="inlineStr">
        <is>
          <t>/lp/5-voprosov</t>
        </is>
      </c>
      <c r="B4" s="27" t="inlineStr">
        <is>
          <t>5 вопросов о талантах (лид-магнит)</t>
        </is>
      </c>
      <c r="C4" s="27" t="n">
        <v>600</v>
      </c>
      <c r="D4" s="27" t="inlineStr">
        <is>
          <t>Meta</t>
        </is>
      </c>
      <c r="E4" s="27" t="inlineStr">
        <is>
          <t>meta/lm-5q</t>
        </is>
      </c>
      <c r="F4" s="27" t="n">
        <v>48000</v>
      </c>
      <c r="G4" s="27" t="n">
        <v>900</v>
      </c>
      <c r="H4" s="27" t="n">
        <v>540</v>
      </c>
      <c r="I4" s="17">
        <f>IF(H4=0,0,(L4/Параметры!$B$3)/H4)</f>
        <v/>
      </c>
      <c r="J4" s="27" t="n">
        <v>1</v>
      </c>
      <c r="K4" s="27" t="n">
        <v>50000</v>
      </c>
      <c r="L4" s="27" t="n">
        <v>38000</v>
      </c>
      <c r="M4" s="21">
        <f>IF(K4=0,"",L4/K4)</f>
        <v/>
      </c>
    </row>
    <row r="5">
      <c r="A5" s="27" t="inlineStr">
        <is>
          <t>/lp/7-oshibok</t>
        </is>
      </c>
      <c r="B5" s="27" t="inlineStr">
        <is>
          <t>7 ошибок родителей</t>
        </is>
      </c>
      <c r="C5" s="27" t="n">
        <v>900</v>
      </c>
      <c r="D5" s="27" t="inlineStr">
        <is>
          <t>VK</t>
        </is>
      </c>
      <c r="E5" s="27" t="inlineStr">
        <is>
          <t>vk/lm-7err</t>
        </is>
      </c>
      <c r="F5" s="27" t="n">
        <v>31000</v>
      </c>
      <c r="G5" s="27" t="n">
        <v>610</v>
      </c>
      <c r="H5" s="27" t="n">
        <v>380</v>
      </c>
      <c r="I5" s="17">
        <f>IF(H5=0,0,(L5/Параметры!$B$3)/H5)</f>
        <v/>
      </c>
      <c r="J5" s="27" t="n">
        <v>0</v>
      </c>
      <c r="K5" s="27" t="n">
        <v>0</v>
      </c>
      <c r="L5" s="27" t="n">
        <v>16000</v>
      </c>
      <c r="M5" s="21">
        <f>IF(K5=0,"",L5/K5)</f>
        <v/>
      </c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17">
        <f>IF(H6=0,0,(L6/Параметры!$B$3)/H6)</f>
        <v/>
      </c>
      <c r="J6" s="27" t="n"/>
      <c r="K6" s="27" t="n"/>
      <c r="L6" s="27" t="n"/>
      <c r="M6" s="21">
        <f>IF(K6=0,"",L6/K6)</f>
        <v/>
      </c>
      <c r="N6" s="28" t="n"/>
    </row>
    <row r="7">
      <c r="A7" s="27" t="n"/>
      <c r="B7" s="27" t="n"/>
      <c r="C7" s="27" t="n"/>
      <c r="D7" s="27" t="n"/>
      <c r="E7" s="27" t="n"/>
      <c r="F7" s="27" t="n"/>
      <c r="G7" s="27" t="n"/>
      <c r="H7" s="27" t="n"/>
      <c r="I7" s="17">
        <f>IF(H7=0,0,(L7/Параметры!$B$3)/H7)</f>
        <v/>
      </c>
      <c r="J7" s="27" t="n"/>
      <c r="K7" s="27" t="n"/>
      <c r="L7" s="27" t="n"/>
      <c r="M7" s="21">
        <f>IF(K7=0,"",L7/K7)</f>
        <v/>
      </c>
      <c r="N7" s="28" t="n"/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17">
        <f>IF(H8=0,0,(L8/Параметры!$B$3)/H8)</f>
        <v/>
      </c>
      <c r="J8" s="27" t="n"/>
      <c r="K8" s="27" t="n"/>
      <c r="L8" s="27" t="n"/>
      <c r="M8" s="21">
        <f>IF(K8=0,"",L8/K8)</f>
        <v/>
      </c>
      <c r="N8" s="28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17">
        <f>IF(H9=0,0,(L9/Параметры!$B$3)/H9)</f>
        <v/>
      </c>
      <c r="J9" s="27" t="n"/>
      <c r="K9" s="27" t="n"/>
      <c r="L9" s="27" t="n"/>
      <c r="M9" s="21">
        <f>IF(K9=0,"",L9/K9)</f>
        <v/>
      </c>
      <c r="N9" s="28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17">
        <f>IF(H10=0,0,(L10/Параметры!$B$3)/H10)</f>
        <v/>
      </c>
      <c r="J10" s="27" t="n"/>
      <c r="K10" s="27" t="n"/>
      <c r="L10" s="27" t="n"/>
      <c r="M10" s="21">
        <f>IF(K10=0,"",L10/K10)</f>
        <v/>
      </c>
      <c r="N10" s="28" t="n"/>
    </row>
    <row r="11">
      <c r="A11" s="29" t="inlineStr">
        <is>
          <t>ИТОГО / сводный ДРР</t>
        </is>
      </c>
      <c r="F11" s="30">
        <f>SUM(F3:F10)</f>
        <v/>
      </c>
      <c r="G11" s="30">
        <f>SUM(G3:G10)</f>
        <v/>
      </c>
      <c r="H11" s="30">
        <f>SUM(H3:H10)</f>
        <v/>
      </c>
      <c r="J11" s="30">
        <f>SUM(J3:J10)</f>
        <v/>
      </c>
      <c r="K11" s="31">
        <f>SUM(K3:K10)</f>
        <v/>
      </c>
      <c r="L11" s="31">
        <f>SUM(L3:L10)</f>
        <v/>
      </c>
      <c r="M11" s="32">
        <f>IF(K11=0,"",L11/K11)</f>
        <v/>
      </c>
    </row>
    <row r="13">
      <c r="A13" s="2" t="inlineStr">
        <is>
          <t>Жёлтые ячейки — ваш факт по кампаниям. CPL и ДРР считаются сами. Сводный ДРР внизу = Σрасход / Σвыручка. Три строки — пример, замени своими.</t>
        </is>
      </c>
    </row>
  </sheetData>
  <mergeCells count="2">
    <mergeCell ref="A13:N13"/>
    <mergeCell ref="A1:N1"/>
  </mergeCells>
  <conditionalFormatting sqref="M3:M11">
    <cfRule type="cellIs" priority="1" operator="greaterThan" dxfId="0">
      <formula>1</formula>
    </cfRule>
    <cfRule type="cellIs" priority="2" operator="between" dxfId="1">
      <formula>0.5</formula>
      <formula>1</formula>
    </cfRule>
    <cfRule type="cellIs" priority="3" operator="lessThan" dxfId="2">
      <formula>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24" customHeight="1">
      <c r="A1" s="1" t="inlineStr">
        <is>
          <t>💸 Юнит-экономика «Профориентация 50 000 ₽» (Поток 2)</t>
        </is>
      </c>
    </row>
    <row r="2">
      <c r="A2" s="4" t="inlineStr">
        <is>
          <t>Показатель</t>
        </is>
      </c>
      <c r="B2" s="4" t="inlineStr">
        <is>
          <t>Значение</t>
        </is>
      </c>
      <c r="C2" s="4" t="inlineStr">
        <is>
          <t>Формула / примечание</t>
        </is>
      </c>
    </row>
    <row r="3">
      <c r="A3" s="5" t="inlineStr">
        <is>
          <t>Цена</t>
        </is>
      </c>
      <c r="B3" s="7">
        <f>Параметры!$B$12</f>
        <v/>
      </c>
      <c r="C3" s="2" t="inlineStr">
        <is>
          <t>живой CTA Потока 2</t>
        </is>
      </c>
    </row>
    <row r="4">
      <c r="A4" s="5" t="inlineStr">
        <is>
          <t>Переменные на сделку, ₽</t>
        </is>
      </c>
      <c r="B4" s="7">
        <f>Параметры!$B$17*Параметры!$B$18+Параметры!$B$19+Параметры!$B$12*Параметры!$B$20</f>
        <v/>
      </c>
      <c r="C4" s="2" t="inlineStr">
        <is>
          <t>проверка эксперта + ИИ + эквайринг</t>
        </is>
      </c>
    </row>
    <row r="5">
      <c r="A5" s="5" t="inlineStr">
        <is>
          <t>CM (вклад на сделку), ₽</t>
        </is>
      </c>
      <c r="B5" s="7">
        <f>B3-B4</f>
        <v/>
      </c>
      <c r="C5" s="2" t="inlineStr">
        <is>
          <t>цена − переменные</t>
        </is>
      </c>
    </row>
    <row r="6">
      <c r="A6" s="5" t="inlineStr">
        <is>
          <t>CM, %</t>
        </is>
      </c>
      <c r="B6" s="9">
        <f>B5/B3</f>
        <v/>
      </c>
      <c r="C6" s="2" t="inlineStr"/>
    </row>
    <row r="7">
      <c r="A7" s="5" t="inlineStr">
        <is>
          <t>CM на человеко-час эксперта, ₽/ч</t>
        </is>
      </c>
      <c r="B7" s="7">
        <f>B5/Параметры!$B$17</f>
        <v/>
      </c>
      <c r="C7" s="2" t="inlineStr">
        <is>
          <t>цена узкого места (этап 5)</t>
        </is>
      </c>
    </row>
    <row r="8">
      <c r="A8" s="5" t="inlineStr">
        <is>
          <t>Постоянные за цикл, ₽</t>
        </is>
      </c>
      <c r="B8" s="7">
        <f>Параметры!$B$21*Параметры!$B$3+Параметры!$B$22*Параметры!$B$3+Параметры!$B$23</f>
        <v/>
      </c>
      <c r="C8" s="2" t="inlineStr">
        <is>
          <t>Meta-спец + инструменты + накладные</t>
        </is>
      </c>
    </row>
    <row r="9">
      <c r="A9" s="5" t="inlineStr">
        <is>
          <t>Реклама за цикл, ₽</t>
        </is>
      </c>
      <c r="B9" s="7">
        <f>(Параметры!$B$4+Параметры!$B$5)*Параметры!$B$3</f>
        <v/>
      </c>
      <c r="C9" s="2" t="inlineStr"/>
    </row>
    <row r="10">
      <c r="A10" s="5" t="inlineStr">
        <is>
          <t>Безубыточность (покрыть постоянные), сделок</t>
        </is>
      </c>
      <c r="B10" s="10">
        <f>B8/B5</f>
        <v/>
      </c>
      <c r="C10" s="2" t="inlineStr"/>
    </row>
    <row r="11">
      <c r="A11" s="5" t="inlineStr">
        <is>
          <t>Безубыточность (реклама + постоянные), сделок</t>
        </is>
      </c>
      <c r="B11" s="10">
        <f>(B9+B8)/B5</f>
        <v/>
      </c>
      <c r="C11" s="2" t="inlineStr">
        <is>
          <t>сколько продаж 50К нужно «в плюс»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</cols>
  <sheetData>
    <row r="1" ht="24" customHeight="1">
      <c r="A1" s="1" t="inlineStr">
        <is>
          <t>📈 P&amp;L компании — план / факт, потоки раздельно</t>
        </is>
      </c>
    </row>
    <row r="2">
      <c r="A2" s="4" t="inlineStr">
        <is>
          <t>Статья, ₽</t>
        </is>
      </c>
      <c r="B2" s="4" t="inlineStr">
        <is>
          <t>Поток 2 план</t>
        </is>
      </c>
      <c r="C2" s="4" t="inlineStr">
        <is>
          <t>Поток 2 факт</t>
        </is>
      </c>
      <c r="D2" s="4" t="inlineStr">
        <is>
          <t>Поток 1 план</t>
        </is>
      </c>
      <c r="E2" s="4" t="inlineStr">
        <is>
          <t>Поток 1 факт</t>
        </is>
      </c>
      <c r="F2" s="4" t="inlineStr">
        <is>
          <t>Компания план</t>
        </is>
      </c>
      <c r="G2" s="4" t="inlineStr">
        <is>
          <t>Компания факт</t>
        </is>
      </c>
    </row>
    <row r="3">
      <c r="A3" s="5" t="inlineStr">
        <is>
          <t>Выручка 50К / профориентация</t>
        </is>
      </c>
      <c r="B3" s="12">
        <f>Маркетинг!D9</f>
        <v/>
      </c>
      <c r="C3" s="11" t="n"/>
      <c r="D3" s="11" t="n"/>
      <c r="E3" s="11" t="n"/>
      <c r="F3" s="7">
        <f>B3+D3</f>
        <v/>
      </c>
      <c r="G3" s="12">
        <f>C3+E3</f>
        <v/>
      </c>
    </row>
    <row r="4">
      <c r="A4" s="5" t="inlineStr">
        <is>
          <t>Выручка подписок</t>
        </is>
      </c>
      <c r="B4" s="12">
        <f>Маркетинг!D10</f>
        <v/>
      </c>
      <c r="C4" s="11" t="n"/>
      <c r="D4" s="11" t="n"/>
      <c r="E4" s="11" t="n"/>
      <c r="F4" s="7">
        <f>B4+D4</f>
        <v/>
      </c>
      <c r="G4" s="12">
        <f>C4+E4</f>
        <v/>
      </c>
    </row>
    <row r="5">
      <c r="A5" s="29" t="inlineStr">
        <is>
          <t>Выручка ИТОГО</t>
        </is>
      </c>
      <c r="B5" s="12">
        <f>B3+B4</f>
        <v/>
      </c>
      <c r="C5" s="11" t="n"/>
      <c r="D5" s="11" t="n"/>
      <c r="E5" s="11" t="n"/>
      <c r="F5" s="7">
        <f>B5+D5</f>
        <v/>
      </c>
      <c r="G5" s="12">
        <f>C5+E5</f>
        <v/>
      </c>
    </row>
    <row r="6">
      <c r="A6" s="5" t="inlineStr">
        <is>
          <t>− Реклама</t>
        </is>
      </c>
      <c r="B6" s="12">
        <f>-(Параметры!$B$4+Параметры!$B$5)*Параметры!$B$3</f>
        <v/>
      </c>
      <c r="C6" s="11" t="n"/>
      <c r="D6" s="11" t="n"/>
      <c r="E6" s="11" t="n"/>
      <c r="F6" s="7">
        <f>B6+D6</f>
        <v/>
      </c>
      <c r="G6" s="12">
        <f>C6+E6</f>
        <v/>
      </c>
    </row>
    <row r="7">
      <c r="A7" s="5" t="inlineStr">
        <is>
          <t>− Переменные (по проданным отчётам)</t>
        </is>
      </c>
      <c r="B7" s="12">
        <f>-Маркетинг!D8*'Юнит-экономика'!B4</f>
        <v/>
      </c>
      <c r="C7" s="11" t="n"/>
      <c r="D7" s="11" t="n"/>
      <c r="E7" s="11" t="n"/>
      <c r="F7" s="7">
        <f>B7+D7</f>
        <v/>
      </c>
      <c r="G7" s="12">
        <f>C7+E7</f>
        <v/>
      </c>
    </row>
    <row r="8">
      <c r="A8" s="29">
        <f> Контрибуция</f>
        <v/>
      </c>
      <c r="B8" s="12">
        <f>B5+B6+B7</f>
        <v/>
      </c>
      <c r="C8" s="11" t="n"/>
      <c r="D8" s="11" t="n"/>
      <c r="E8" s="11" t="n"/>
      <c r="F8" s="7">
        <f>B8+D8</f>
        <v/>
      </c>
      <c r="G8" s="12">
        <f>C8+E8</f>
        <v/>
      </c>
    </row>
    <row r="9">
      <c r="A9" s="5" t="inlineStr">
        <is>
          <t>− Постоянные</t>
        </is>
      </c>
      <c r="B9" s="12">
        <f>-('Юнит-экономика'!B8)</f>
        <v/>
      </c>
      <c r="C9" s="11" t="n"/>
      <c r="D9" s="11" t="n"/>
      <c r="E9" s="11" t="n"/>
      <c r="F9" s="7">
        <f>B9+D9</f>
        <v/>
      </c>
      <c r="G9" s="12">
        <f>C9+E9</f>
        <v/>
      </c>
    </row>
    <row r="10">
      <c r="A10" s="29">
        <f> Операционный результат</f>
        <v/>
      </c>
      <c r="B10" s="12">
        <f>B8+B9</f>
        <v/>
      </c>
      <c r="C10" s="11" t="n"/>
      <c r="D10" s="11" t="n"/>
      <c r="E10" s="11" t="n"/>
      <c r="F10" s="7">
        <f>B10+D10</f>
        <v/>
      </c>
      <c r="G10" s="12">
        <f>C10+E10</f>
        <v/>
      </c>
    </row>
    <row r="11">
      <c r="A11" s="5" t="inlineStr">
        <is>
          <t>ДРР (реклама / выручка)</t>
        </is>
      </c>
      <c r="B11" s="21">
        <f>-B6/B5</f>
        <v/>
      </c>
      <c r="C11" s="20" t="n"/>
      <c r="D11" s="20" t="n"/>
      <c r="E11" s="20" t="n"/>
      <c r="F11" s="9">
        <f>B11+D11</f>
        <v/>
      </c>
      <c r="G11" s="21">
        <f>C11+E11</f>
        <v/>
      </c>
    </row>
    <row r="12">
      <c r="A12" s="5" t="inlineStr">
        <is>
          <t>ROMI (опер. результат / реклама)</t>
        </is>
      </c>
      <c r="B12" s="21">
        <f>B10/-B6</f>
        <v/>
      </c>
      <c r="C12" s="20" t="n"/>
      <c r="D12" s="20" t="n"/>
      <c r="E12" s="20" t="n"/>
      <c r="F12" s="9">
        <f>B12+D12</f>
        <v/>
      </c>
      <c r="G12" s="21">
        <f>C12+E12</f>
        <v/>
      </c>
    </row>
    <row r="14">
      <c r="A14" s="2" t="inlineStr">
        <is>
          <t>Поток 1 (HNW, личные продажи Макса) — жёлтые ячейки заполняются вручную, в воронку Потока 2 не входит. Жёлтое = ввод. 🔴 опер. результат &lt; 0.</t>
        </is>
      </c>
    </row>
  </sheetData>
  <mergeCells count="2">
    <mergeCell ref="A14:G14"/>
    <mergeCell ref="A1:G1"/>
  </mergeCells>
  <conditionalFormatting sqref="B10">
    <cfRule type="cellIs" priority="1" operator="lessThan" dxfId="0">
      <formula>0</formula>
    </cfRule>
    <cfRule type="cellIs" priority="2" operator="greaterThanOrEqual" dxfId="2">
      <formula>0</formula>
    </cfRule>
  </conditionalFormatting>
  <conditionalFormatting sqref="B8">
    <cfRule type="cellIs" priority="3" operator="lessThan" dxfId="0">
      <formula>0</formula>
    </cfRule>
    <cfRule type="cellIs" priority="4" operator="greaterThanOrEqual" dxfId="2">
      <formula>0</formula>
    </cfRule>
  </conditionalFormatting>
  <conditionalFormatting sqref="C10">
    <cfRule type="cellIs" priority="5" operator="lessThan" dxfId="0">
      <formula>0</formula>
    </cfRule>
    <cfRule type="cellIs" priority="6" operator="greaterThanOrEqual" dxfId="2">
      <formula>0</formula>
    </cfRule>
  </conditionalFormatting>
  <conditionalFormatting sqref="C8">
    <cfRule type="cellIs" priority="7" operator="lessThan" dxfId="0">
      <formula>0</formula>
    </cfRule>
    <cfRule type="cellIs" priority="8" operator="greaterThanOrEqual" dxfId="2">
      <formula>0</formula>
    </cfRule>
  </conditionalFormatting>
  <conditionalFormatting sqref="F10">
    <cfRule type="cellIs" priority="9" operator="lessThan" dxfId="0">
      <formula>0</formula>
    </cfRule>
    <cfRule type="cellIs" priority="10" operator="greaterThanOrEqual" dxfId="2">
      <formula>0</formula>
    </cfRule>
  </conditionalFormatting>
  <conditionalFormatting sqref="F8">
    <cfRule type="cellIs" priority="11" operator="lessThan" dxfId="0">
      <formula>0</formula>
    </cfRule>
    <cfRule type="cellIs" priority="12" operator="greaterThanOrEqual" dxfId="2">
      <formula>0</formula>
    </cfRule>
  </conditionalFormatting>
  <conditionalFormatting sqref="G10">
    <cfRule type="cellIs" priority="13" operator="lessThan" dxfId="0">
      <formula>0</formula>
    </cfRule>
    <cfRule type="cellIs" priority="14" operator="greaterThanOrEqual" dxfId="2">
      <formula>0</formula>
    </cfRule>
  </conditionalFormatting>
  <conditionalFormatting sqref="G8">
    <cfRule type="cellIs" priority="15" operator="lessThan" dxfId="0">
      <formula>0</formula>
    </cfRule>
    <cfRule type="cellIs" priority="16" operator="greaterThanOrEqual" dxfId="2">
      <formula>0</formula>
    </cfRule>
  </conditionalFormatting>
  <conditionalFormatting sqref="B11">
    <cfRule type="cellIs" priority="17" operator="greaterThan" dxfId="0">
      <formula>1</formula>
    </cfRule>
    <cfRule type="cellIs" priority="18" operator="between" dxfId="1">
      <formula>0.5</formula>
      <formula>1</formula>
    </cfRule>
    <cfRule type="cellIs" priority="19" operator="lessThan" dxfId="2">
      <formula>0.5</formula>
    </cfRule>
  </conditionalFormatting>
  <conditionalFormatting sqref="F11">
    <cfRule type="cellIs" priority="20" operator="greaterThan" dxfId="0">
      <formula>1</formula>
    </cfRule>
    <cfRule type="cellIs" priority="21" operator="between" dxfId="1">
      <formula>0.5</formula>
      <formula>1</formula>
    </cfRule>
    <cfRule type="cellIs" priority="22" operator="lessThan" dxfId="2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2026-06-27T01:42:22Z</dcterms:created>
  <dcterms:modified xsi:type="dcterms:W3CDTF">2026-06-27T01:42:22Z</dcterms:modified>
</cp:coreProperties>
</file>